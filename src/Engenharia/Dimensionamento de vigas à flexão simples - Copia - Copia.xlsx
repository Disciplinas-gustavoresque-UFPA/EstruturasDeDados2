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erto\Desktop\"/>
    </mc:Choice>
  </mc:AlternateContent>
  <xr:revisionPtr revIDLastSave="0" documentId="13_ncr:1_{734816DF-CAF2-4508-97D4-42CA147E12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IGA" sheetId="1" r:id="rId1"/>
    <sheet name="LISTAS" sheetId="7" state="hidden" r:id="rId2"/>
    <sheet name="LAJE" sheetId="8" r:id="rId3"/>
    <sheet name="PEÇAS RETANGULARES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11SI+XugUVbFsZLbYMbcsQMEEjUNc9t+ky4ERUhQbjQ="/>
    </ext>
  </extLst>
</workbook>
</file>

<file path=xl/calcChain.xml><?xml version="1.0" encoding="utf-8"?>
<calcChain xmlns="http://schemas.openxmlformats.org/spreadsheetml/2006/main">
  <c r="C9" i="1" l="1"/>
  <c r="F5" i="1"/>
  <c r="F16" i="1"/>
  <c r="F11" i="1"/>
  <c r="F9" i="1"/>
  <c r="F10" i="1"/>
  <c r="B37" i="9"/>
  <c r="F13" i="9" s="1"/>
  <c r="B36" i="9"/>
  <c r="C35" i="9"/>
  <c r="B35" i="9"/>
  <c r="F12" i="9"/>
  <c r="F9" i="9"/>
  <c r="D9" i="9"/>
  <c r="F11" i="9" s="1"/>
  <c r="F8" i="9"/>
  <c r="D8" i="9"/>
  <c r="H9" i="9" s="1"/>
  <c r="I9" i="9" s="1"/>
  <c r="H6" i="9"/>
  <c r="H5" i="9"/>
  <c r="F5" i="9"/>
  <c r="C60" i="8"/>
  <c r="C61" i="8" s="1"/>
  <c r="C59" i="8"/>
  <c r="B52" i="8"/>
  <c r="C51" i="8"/>
  <c r="B51" i="8"/>
  <c r="N36" i="8"/>
  <c r="M36" i="8"/>
  <c r="L36" i="8"/>
  <c r="K36" i="8"/>
  <c r="J36" i="8"/>
  <c r="J39" i="8" s="1"/>
  <c r="J31" i="8"/>
  <c r="M30" i="8"/>
  <c r="M39" i="8" s="1"/>
  <c r="J30" i="8"/>
  <c r="M29" i="8"/>
  <c r="L39" i="8" s="1"/>
  <c r="J29" i="8"/>
  <c r="M28" i="8"/>
  <c r="K39" i="8" s="1"/>
  <c r="J28" i="8"/>
  <c r="M27" i="8"/>
  <c r="J27" i="8"/>
  <c r="F22" i="8"/>
  <c r="F21" i="8"/>
  <c r="F17" i="8"/>
  <c r="F12" i="8"/>
  <c r="F11" i="8"/>
  <c r="D9" i="8"/>
  <c r="F10" i="8" s="1"/>
  <c r="F8" i="8"/>
  <c r="F7" i="8"/>
  <c r="F5" i="8"/>
  <c r="F4" i="8"/>
  <c r="G24" i="8" s="1"/>
  <c r="B44" i="1"/>
  <c r="C43" i="1"/>
  <c r="B43" i="1"/>
  <c r="F24" i="1"/>
  <c r="D11" i="1"/>
  <c r="F20" i="1" s="1"/>
  <c r="F12" i="1"/>
  <c r="F8" i="1"/>
  <c r="F7" i="1"/>
  <c r="F19" i="1"/>
  <c r="F4" i="1"/>
  <c r="B45" i="1" s="1"/>
  <c r="F9" i="8" l="1"/>
  <c r="H10" i="1"/>
  <c r="H7" i="1"/>
  <c r="H9" i="1"/>
  <c r="H5" i="1" s="1"/>
  <c r="H6" i="1" s="1"/>
  <c r="H35" i="1" s="1"/>
  <c r="F14" i="1"/>
  <c r="F13" i="1"/>
  <c r="B50" i="1"/>
  <c r="C50" i="1" s="1"/>
  <c r="H11" i="1"/>
  <c r="C28" i="9"/>
  <c r="C27" i="9"/>
  <c r="F25" i="1"/>
  <c r="F27" i="1"/>
  <c r="F14" i="9"/>
  <c r="H7" i="9" s="1"/>
  <c r="D27" i="1"/>
  <c r="B53" i="8"/>
  <c r="F10" i="9"/>
  <c r="H8" i="9" s="1"/>
  <c r="C35" i="1"/>
  <c r="F15" i="1"/>
  <c r="H9" i="8"/>
  <c r="F18" i="8"/>
  <c r="H10" i="8" s="1"/>
  <c r="H15" i="9"/>
  <c r="B40" i="9"/>
  <c r="C40" i="9" s="1"/>
  <c r="H12" i="1" l="1"/>
  <c r="C38" i="1" s="1"/>
  <c r="C24" i="1"/>
  <c r="C25" i="1" s="1"/>
  <c r="C37" i="1"/>
  <c r="I8" i="9"/>
  <c r="F18" i="9"/>
  <c r="G18" i="9" s="1"/>
  <c r="C32" i="9"/>
  <c r="C31" i="9"/>
  <c r="F17" i="9" s="1"/>
  <c r="G17" i="9" s="1"/>
  <c r="H10" i="9"/>
  <c r="C21" i="9" s="1"/>
  <c r="H11" i="8"/>
  <c r="B56" i="8"/>
  <c r="C56" i="8" s="1"/>
  <c r="F14" i="8"/>
  <c r="F13" i="8"/>
  <c r="C26" i="1" l="1"/>
  <c r="D26" i="1" s="1"/>
  <c r="C23" i="9"/>
  <c r="C22" i="9"/>
  <c r="C63" i="8"/>
  <c r="C21" i="8"/>
  <c r="F34" i="1" l="1"/>
  <c r="H36" i="1" s="1"/>
  <c r="D28" i="1"/>
  <c r="C28" i="1"/>
  <c r="C34" i="1" s="1"/>
  <c r="C23" i="8"/>
  <c r="C22" i="8"/>
  <c r="F17" i="1"/>
  <c r="G17" i="1" s="1"/>
  <c r="F35" i="1" s="1"/>
  <c r="F18" i="1"/>
  <c r="F21" i="1" s="1"/>
  <c r="C36" i="1"/>
  <c r="C24" i="9"/>
  <c r="D23" i="9"/>
  <c r="F6" i="1" l="1"/>
  <c r="F36" i="1"/>
  <c r="F26" i="1" s="1"/>
  <c r="G26" i="1" s="1"/>
  <c r="C27" i="1"/>
  <c r="C24" i="8"/>
  <c r="D23" i="8"/>
  <c r="F16" i="9"/>
  <c r="G16" i="9" s="1"/>
  <c r="F7" i="9" s="1"/>
  <c r="C26" i="9"/>
  <c r="F15" i="9"/>
  <c r="H11" i="9"/>
  <c r="H12" i="9" s="1"/>
  <c r="F26" i="9" s="1"/>
  <c r="G25" i="1"/>
  <c r="H16" i="1"/>
  <c r="H15" i="1"/>
  <c r="H14" i="1" l="1"/>
  <c r="F27" i="9"/>
  <c r="F28" i="9" s="1"/>
  <c r="D41" i="8"/>
  <c r="G35" i="8"/>
  <c r="C35" i="8"/>
  <c r="D34" i="8"/>
  <c r="H5" i="8"/>
  <c r="H6" i="8" s="1"/>
  <c r="C41" i="8"/>
  <c r="F35" i="8"/>
  <c r="G34" i="8"/>
  <c r="C34" i="8"/>
  <c r="F27" i="8"/>
  <c r="F15" i="8"/>
  <c r="G15" i="8" s="1"/>
  <c r="F41" i="8"/>
  <c r="E35" i="8"/>
  <c r="F34" i="8"/>
  <c r="F26" i="8"/>
  <c r="F28" i="8" s="1"/>
  <c r="E41" i="8"/>
  <c r="D35" i="8"/>
  <c r="E34" i="8"/>
  <c r="C26" i="8"/>
  <c r="F23" i="8" s="1"/>
  <c r="E36" i="8" s="1"/>
  <c r="F16" i="8"/>
  <c r="F6" i="8"/>
  <c r="D36" i="8" l="1"/>
  <c r="E40" i="8"/>
  <c r="F43" i="8"/>
  <c r="G36" i="8"/>
  <c r="C40" i="8"/>
  <c r="F33" i="8"/>
  <c r="C33" i="8"/>
  <c r="E43" i="8"/>
  <c r="C36" i="8"/>
  <c r="E42" i="8"/>
  <c r="G33" i="8"/>
  <c r="F40" i="8"/>
  <c r="E33" i="8"/>
  <c r="F36" i="8"/>
  <c r="D43" i="8"/>
  <c r="C42" i="8"/>
  <c r="D40" i="8"/>
  <c r="C62" i="8"/>
  <c r="F42" i="8"/>
  <c r="D33" i="8"/>
  <c r="C43" i="8"/>
  <c r="D42" i="8"/>
  <c r="D62" i="8" l="1"/>
  <c r="C64" i="8"/>
  <c r="D64" i="8" s="1"/>
</calcChain>
</file>

<file path=xl/sharedStrings.xml><?xml version="1.0" encoding="utf-8"?>
<sst xmlns="http://schemas.openxmlformats.org/spreadsheetml/2006/main" count="238" uniqueCount="188">
  <si>
    <t>DIMENSIONAMENTO DE VIGAS (SEÇÃO RETANGULAR E SEÇÃO T) À FLEXÃO SIMPLES (NBR 6118:2023)</t>
  </si>
  <si>
    <t>d (cm)</t>
  </si>
  <si>
    <t>CAA</t>
  </si>
  <si>
    <t>II</t>
  </si>
  <si>
    <t>Controle de qualidade</t>
  </si>
  <si>
    <t>Rigoroso</t>
  </si>
  <si>
    <t xml:space="preserve">ELEMENTO ESTRUTURAL: </t>
  </si>
  <si>
    <r>
      <rPr>
        <b/>
        <sz val="12"/>
        <color theme="0"/>
        <rFont val="Calibri"/>
      </rPr>
      <t>b</t>
    </r>
    <r>
      <rPr>
        <b/>
        <vertAlign val="subscript"/>
        <sz val="12"/>
        <color theme="0"/>
        <rFont val="Calibri"/>
      </rPr>
      <t>f</t>
    </r>
    <r>
      <rPr>
        <b/>
        <sz val="12"/>
        <color theme="0"/>
        <rFont val="Calibri"/>
      </rPr>
      <t xml:space="preserve"> (cm)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</si>
  <si>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yd</t>
    </r>
    <r>
      <rPr>
        <sz val="12"/>
        <color theme="1"/>
        <rFont val="Calibri"/>
      </rPr>
      <t xml:space="preserve"> (KN/cm²)</t>
    </r>
  </si>
  <si>
    <r>
      <rPr>
        <sz val="11"/>
        <color theme="1"/>
        <rFont val="Calibri"/>
      </rPr>
      <t>M</t>
    </r>
    <r>
      <rPr>
        <vertAlign val="subscript"/>
        <sz val="11"/>
        <color theme="1"/>
        <rFont val="Calibri"/>
      </rPr>
      <t>dlim</t>
    </r>
    <r>
      <rPr>
        <sz val="11"/>
        <color theme="1"/>
        <rFont val="Calibri"/>
      </rPr>
      <t xml:space="preserve"> (KN.cm)</t>
    </r>
  </si>
  <si>
    <r>
      <rPr>
        <b/>
        <sz val="12"/>
        <color theme="0"/>
        <rFont val="Calibri"/>
      </rPr>
      <t>b</t>
    </r>
    <r>
      <rPr>
        <b/>
        <vertAlign val="subscript"/>
        <sz val="12"/>
        <color theme="0"/>
        <rFont val="Calibri"/>
      </rPr>
      <t>w</t>
    </r>
    <r>
      <rPr>
        <b/>
        <sz val="12"/>
        <color theme="0"/>
        <rFont val="Calibri"/>
      </rPr>
      <t xml:space="preserve"> (cm)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</si>
  <si>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sd</t>
    </r>
    <r>
      <rPr>
        <sz val="12"/>
        <color theme="1"/>
        <rFont val="Calibri"/>
      </rPr>
      <t xml:space="preserve"> (KN/cm²)</t>
    </r>
  </si>
  <si>
    <r>
      <rPr>
        <sz val="11"/>
        <color theme="1"/>
        <rFont val="Calibri"/>
      </rPr>
      <t>M</t>
    </r>
    <r>
      <rPr>
        <vertAlign val="subscript"/>
        <sz val="11"/>
        <color theme="1"/>
        <rFont val="Calibri"/>
      </rPr>
      <t>2</t>
    </r>
    <r>
      <rPr>
        <sz val="11"/>
        <color theme="1"/>
        <rFont val="Calibri"/>
      </rPr>
      <t xml:space="preserve"> (KN.cm)</t>
    </r>
  </si>
  <si>
    <r>
      <rPr>
        <b/>
        <sz val="12"/>
        <color theme="0"/>
        <rFont val="Calibri"/>
      </rPr>
      <t>h</t>
    </r>
    <r>
      <rPr>
        <b/>
        <vertAlign val="subscript"/>
        <sz val="12"/>
        <color theme="0"/>
        <rFont val="Calibri"/>
      </rPr>
      <t>f</t>
    </r>
    <r>
      <rPr>
        <b/>
        <sz val="12"/>
        <color theme="0"/>
        <rFont val="Calibri"/>
      </rPr>
      <t xml:space="preserve"> (cm)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</si>
  <si>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ck</t>
    </r>
    <r>
      <rPr>
        <sz val="12"/>
        <color theme="1"/>
        <rFont val="Calibri"/>
      </rPr>
      <t xml:space="preserve"> (KN/cm²)</t>
    </r>
  </si>
  <si>
    <t>x/d</t>
  </si>
  <si>
    <t>h (cm)</t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</si>
  <si>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cd</t>
    </r>
    <r>
      <rPr>
        <sz val="12"/>
        <color theme="1"/>
        <rFont val="Calibri"/>
      </rPr>
      <t xml:space="preserve"> (KN/cm²)</t>
    </r>
  </si>
  <si>
    <t>x (flexível)</t>
  </si>
  <si>
    <r>
      <rPr>
        <b/>
        <sz val="12"/>
        <color theme="0"/>
        <rFont val="Calibri"/>
      </rPr>
      <t>M</t>
    </r>
    <r>
      <rPr>
        <b/>
        <vertAlign val="subscript"/>
        <sz val="12"/>
        <color theme="0"/>
        <rFont val="Calibri"/>
      </rPr>
      <t>sk</t>
    </r>
    <r>
      <rPr>
        <b/>
        <sz val="12"/>
        <color theme="0"/>
        <rFont val="Calibri"/>
      </rPr>
      <t xml:space="preserve"> (KN.m)</t>
    </r>
  </si>
  <si>
    <t>λ</t>
  </si>
  <si>
    <t>x</t>
  </si>
  <si>
    <r>
      <rPr>
        <b/>
        <sz val="12"/>
        <color theme="0"/>
        <rFont val="Calibri"/>
      </rPr>
      <t>V</t>
    </r>
    <r>
      <rPr>
        <b/>
        <vertAlign val="subscript"/>
        <sz val="12"/>
        <color theme="0"/>
        <rFont val="Calibri"/>
      </rPr>
      <t xml:space="preserve">sk </t>
    </r>
    <r>
      <rPr>
        <b/>
        <sz val="12"/>
        <color theme="0"/>
        <rFont val="Calibri"/>
      </rPr>
      <t>(KN)</t>
    </r>
  </si>
  <si>
    <r>
      <rPr>
        <sz val="12"/>
        <color theme="1"/>
        <rFont val="Calibri"/>
      </rPr>
      <t>α</t>
    </r>
    <r>
      <rPr>
        <vertAlign val="subscript"/>
        <sz val="12"/>
        <color theme="1"/>
        <rFont val="Calibri"/>
      </rPr>
      <t>c</t>
    </r>
  </si>
  <si>
    <r>
      <rPr>
        <sz val="12"/>
        <color theme="1"/>
        <rFont val="Calibri"/>
      </rPr>
      <t>β</t>
    </r>
    <r>
      <rPr>
        <vertAlign val="subscript"/>
        <sz val="12"/>
        <color theme="1"/>
        <rFont val="Calibri"/>
      </rPr>
      <t>x(2-3)</t>
    </r>
  </si>
  <si>
    <r>
      <rPr>
        <b/>
        <sz val="12"/>
        <color theme="0"/>
        <rFont val="Calibri"/>
      </rPr>
      <t>f</t>
    </r>
    <r>
      <rPr>
        <b/>
        <vertAlign val="subscript"/>
        <sz val="12"/>
        <color theme="0"/>
        <rFont val="Calibri"/>
      </rPr>
      <t>ck</t>
    </r>
    <r>
      <rPr>
        <b/>
        <sz val="12"/>
        <color theme="0"/>
        <rFont val="Calibri"/>
      </rPr>
      <t xml:space="preserve"> (MPa)</t>
    </r>
  </si>
  <si>
    <r>
      <rPr>
        <sz val="12"/>
        <color theme="1"/>
        <rFont val="Calibri"/>
      </rPr>
      <t>η</t>
    </r>
    <r>
      <rPr>
        <vertAlign val="subscript"/>
        <sz val="12"/>
        <color theme="1"/>
        <rFont val="Calibri"/>
      </rPr>
      <t>c</t>
    </r>
  </si>
  <si>
    <r>
      <rPr>
        <sz val="12"/>
        <color theme="1"/>
        <rFont val="Calibri"/>
      </rPr>
      <t>β</t>
    </r>
    <r>
      <rPr>
        <vertAlign val="subscript"/>
        <sz val="12"/>
        <color theme="1"/>
        <rFont val="Calibri"/>
      </rPr>
      <t>x(3-4)</t>
    </r>
  </si>
  <si>
    <r>
      <rPr>
        <b/>
        <sz val="12"/>
        <color theme="0"/>
        <rFont val="Calibri"/>
      </rPr>
      <t>f</t>
    </r>
    <r>
      <rPr>
        <b/>
        <vertAlign val="subscript"/>
        <sz val="12"/>
        <color theme="0"/>
        <rFont val="Calibri"/>
      </rPr>
      <t>yk</t>
    </r>
    <r>
      <rPr>
        <b/>
        <sz val="12"/>
        <color theme="0"/>
        <rFont val="Calibri"/>
      </rPr>
      <t xml:space="preserve"> (KN/cm²)</t>
    </r>
  </si>
  <si>
    <r>
      <rPr>
        <sz val="12"/>
        <color theme="1"/>
        <rFont val="Calibri"/>
      </rPr>
      <t>M</t>
    </r>
    <r>
      <rPr>
        <vertAlign val="subscript"/>
        <sz val="12"/>
        <color theme="1"/>
        <rFont val="Calibri"/>
      </rPr>
      <t xml:space="preserve">sd </t>
    </r>
    <r>
      <rPr>
        <sz val="12"/>
        <color theme="1"/>
        <rFont val="Calibri"/>
      </rPr>
      <t>(KN.cm)</t>
    </r>
  </si>
  <si>
    <r>
      <rPr>
        <sz val="11"/>
        <color theme="1"/>
        <rFont val="Calibri"/>
      </rPr>
      <t>M</t>
    </r>
    <r>
      <rPr>
        <vertAlign val="subscript"/>
        <sz val="11"/>
        <color theme="1"/>
        <rFont val="Calibri"/>
      </rPr>
      <t xml:space="preserve">dlim(0,628d) </t>
    </r>
    <r>
      <rPr>
        <sz val="11"/>
        <color theme="1"/>
        <rFont val="Calibri"/>
      </rPr>
      <t>KN.cm</t>
    </r>
  </si>
  <si>
    <t>δ (0,75 a 1)</t>
  </si>
  <si>
    <t>d' (cm)</t>
  </si>
  <si>
    <r>
      <rPr>
        <sz val="12"/>
        <color theme="1"/>
        <rFont val="Calibri"/>
      </rPr>
      <t>β</t>
    </r>
    <r>
      <rPr>
        <vertAlign val="subscript"/>
        <sz val="12"/>
        <color theme="1"/>
        <rFont val="Calibri"/>
      </rPr>
      <t>x(real)</t>
    </r>
  </si>
  <si>
    <r>
      <rPr>
        <sz val="12"/>
        <color theme="1"/>
        <rFont val="Calibri"/>
      </rPr>
      <t>R</t>
    </r>
    <r>
      <rPr>
        <vertAlign val="subscript"/>
        <sz val="12"/>
        <color theme="1"/>
        <rFont val="Calibri"/>
      </rPr>
      <t xml:space="preserve">cm </t>
    </r>
    <r>
      <rPr>
        <sz val="12"/>
        <color theme="1"/>
        <rFont val="Calibri"/>
      </rPr>
      <t>(KN)</t>
    </r>
  </si>
  <si>
    <r>
      <rPr>
        <sz val="12"/>
        <color theme="1"/>
        <rFont val="Calibri"/>
      </rPr>
      <t>β</t>
    </r>
    <r>
      <rPr>
        <vertAlign val="subscript"/>
        <sz val="12"/>
        <color theme="1"/>
        <rFont val="Calibri"/>
      </rPr>
      <t>x(para chegar no 0,628)</t>
    </r>
  </si>
  <si>
    <r>
      <rPr>
        <sz val="12"/>
        <color theme="1"/>
        <rFont val="Calibri"/>
      </rPr>
      <t>M</t>
    </r>
    <r>
      <rPr>
        <vertAlign val="subscript"/>
        <sz val="12"/>
        <color theme="1"/>
        <rFont val="Calibri"/>
      </rPr>
      <t>0d</t>
    </r>
    <r>
      <rPr>
        <sz val="12"/>
        <color theme="1"/>
        <rFont val="Calibri"/>
      </rPr>
      <t xml:space="preserve"> (KN.cm)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</si>
  <si>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s(que vai para 0,628)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</si>
  <si>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>' (mm/m)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</si>
  <si>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(mm/m)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</si>
  <si>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yd</t>
    </r>
    <r>
      <rPr>
        <sz val="12"/>
        <color theme="1"/>
        <rFont val="Calibri"/>
      </rPr>
      <t xml:space="preserve"> (mm/m)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</si>
  <si>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cu</t>
    </r>
    <r>
      <rPr>
        <sz val="12"/>
        <color theme="1"/>
        <rFont val="Calibri"/>
      </rPr>
      <t xml:space="preserve"> (mm/m)</t>
    </r>
  </si>
  <si>
    <t>Razão de ductilidade</t>
  </si>
  <si>
    <t>RESULTADOS DE FLEXÃO (ARMADURA SIMPLES OU ARMADURA DUPLA)</t>
  </si>
  <si>
    <r>
      <rPr>
        <sz val="12"/>
        <color theme="1"/>
        <rFont val="Calibri"/>
      </rPr>
      <t>K</t>
    </r>
    <r>
      <rPr>
        <vertAlign val="subscript"/>
        <sz val="12"/>
        <color theme="1"/>
        <rFont val="Calibri"/>
      </rPr>
      <t>md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</si>
  <si>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s,pele</t>
    </r>
    <r>
      <rPr>
        <sz val="12"/>
        <color theme="1"/>
        <rFont val="Calibri"/>
      </rPr>
      <t xml:space="preserve"> (cm²)</t>
    </r>
  </si>
  <si>
    <t>∆</t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</si>
  <si>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 xml:space="preserve">s,mín </t>
    </r>
    <r>
      <rPr>
        <sz val="12"/>
        <color theme="1"/>
        <rFont val="Calibri"/>
      </rPr>
      <t>(cm²)</t>
    </r>
  </si>
  <si>
    <r>
      <rPr>
        <sz val="12"/>
        <color theme="1"/>
        <rFont val="Calibri"/>
      </rPr>
      <t>β</t>
    </r>
    <r>
      <rPr>
        <vertAlign val="subscript"/>
        <sz val="12"/>
        <color theme="1"/>
        <rFont val="Calibri"/>
      </rPr>
      <t>x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</si>
  <si>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 xml:space="preserve">s,máx </t>
    </r>
    <r>
      <rPr>
        <sz val="12"/>
        <color theme="1"/>
        <rFont val="Calibri"/>
      </rPr>
      <t>(cm²)</t>
    </r>
  </si>
  <si>
    <t>y (cm)</t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</si>
  <si>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 xml:space="preserve">s,costura </t>
    </r>
    <r>
      <rPr>
        <sz val="12"/>
        <color theme="1"/>
        <rFont val="Calibri"/>
      </rPr>
      <t>(cm²/m)</t>
    </r>
  </si>
  <si>
    <t>x (cm)</t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</si>
  <si>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(cm²) 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</si>
  <si>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(cm²)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</si>
  <si>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s,mesa</t>
    </r>
    <r>
      <rPr>
        <sz val="12"/>
        <color theme="1"/>
        <rFont val="Calibri"/>
      </rPr>
      <t xml:space="preserve"> (cm²)</t>
    </r>
  </si>
  <si>
    <r>
      <rPr>
        <sz val="12"/>
        <color theme="1"/>
        <rFont val="Calibri"/>
      </rPr>
      <t>A'</t>
    </r>
    <r>
      <rPr>
        <vertAlign val="subscript"/>
        <sz val="12"/>
        <color theme="1"/>
        <rFont val="Calibri"/>
      </rPr>
      <t xml:space="preserve">s </t>
    </r>
    <r>
      <rPr>
        <sz val="12"/>
        <color theme="1"/>
        <rFont val="Calibri"/>
      </rPr>
      <t>(cm²)</t>
    </r>
  </si>
  <si>
    <r>
      <rPr>
        <sz val="11"/>
        <color theme="1"/>
        <rFont val="Calibri"/>
      </rPr>
      <t>A</t>
    </r>
    <r>
      <rPr>
        <vertAlign val="subscript"/>
        <sz val="11"/>
        <color theme="1"/>
        <rFont val="Calibri"/>
      </rPr>
      <t xml:space="preserve">s2 </t>
    </r>
    <r>
      <rPr>
        <sz val="11"/>
        <color theme="1"/>
        <rFont val="Calibri"/>
      </rPr>
      <t>(cm²)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</si>
  <si>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s,alma</t>
    </r>
    <r>
      <rPr>
        <sz val="12"/>
        <color theme="1"/>
        <rFont val="Calibri"/>
      </rPr>
      <t xml:space="preserve"> (cm²)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</si>
  <si>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s,total</t>
    </r>
    <r>
      <rPr>
        <sz val="12"/>
        <color theme="1"/>
        <rFont val="Calibri"/>
      </rPr>
      <t xml:space="preserve"> (cm²)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</si>
  <si>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s,limite(0,45d)</t>
    </r>
    <r>
      <rPr>
        <sz val="12"/>
        <color theme="1"/>
        <rFont val="Calibri"/>
      </rPr>
      <t xml:space="preserve"> (cm²)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</si>
  <si>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s,limite(0,628d)</t>
    </r>
    <r>
      <rPr>
        <sz val="12"/>
        <color theme="1"/>
        <rFont val="Calibri"/>
      </rPr>
      <t xml:space="preserve"> (cm²)</t>
    </r>
  </si>
  <si>
    <t>DETALHAMENTO DA SEÇÃO</t>
  </si>
  <si>
    <r>
      <rPr>
        <sz val="12"/>
        <color theme="1"/>
        <rFont val="Calibri"/>
      </rPr>
      <t>b</t>
    </r>
    <r>
      <rPr>
        <vertAlign val="subscript"/>
        <sz val="12"/>
        <color theme="1"/>
        <rFont val="Calibri"/>
      </rPr>
      <t xml:space="preserve">w </t>
    </r>
    <r>
      <rPr>
        <sz val="12"/>
        <color theme="1"/>
        <rFont val="Calibri"/>
      </rPr>
      <t>(cm)</t>
    </r>
  </si>
  <si>
    <t>c (cm)</t>
  </si>
  <si>
    <r>
      <rPr>
        <sz val="12"/>
        <color theme="1"/>
        <rFont val="Calibri"/>
      </rPr>
      <t>ɸ</t>
    </r>
    <r>
      <rPr>
        <vertAlign val="subscript"/>
        <sz val="12"/>
        <color theme="1"/>
        <rFont val="Calibri"/>
      </rPr>
      <t>t</t>
    </r>
    <r>
      <rPr>
        <sz val="12"/>
        <color theme="1"/>
        <rFont val="Calibri"/>
      </rPr>
      <t xml:space="preserve"> (cm)</t>
    </r>
  </si>
  <si>
    <t>n° de barras</t>
  </si>
  <si>
    <r>
      <rPr>
        <sz val="12"/>
        <color theme="1"/>
        <rFont val="Calibri"/>
      </rPr>
      <t>ɸ</t>
    </r>
    <r>
      <rPr>
        <vertAlign val="subscript"/>
        <sz val="12"/>
        <color theme="1"/>
        <rFont val="Calibri"/>
      </rPr>
      <t>l</t>
    </r>
    <r>
      <rPr>
        <sz val="12"/>
        <color theme="1"/>
        <rFont val="Calibri"/>
      </rPr>
      <t xml:space="preserve"> (cm)</t>
    </r>
  </si>
  <si>
    <r>
      <rPr>
        <sz val="12"/>
        <color theme="1"/>
        <rFont val="Calibri"/>
      </rPr>
      <t>d</t>
    </r>
    <r>
      <rPr>
        <vertAlign val="subscript"/>
        <sz val="12"/>
        <color theme="1"/>
        <rFont val="Calibri"/>
      </rPr>
      <t xml:space="preserve">máx,agr </t>
    </r>
    <r>
      <rPr>
        <sz val="12"/>
        <color theme="1"/>
        <rFont val="Calibri"/>
      </rPr>
      <t>(cm)</t>
    </r>
  </si>
  <si>
    <r>
      <rPr>
        <sz val="12"/>
        <color theme="1"/>
        <rFont val="Calibri"/>
      </rPr>
      <t>e</t>
    </r>
    <r>
      <rPr>
        <vertAlign val="subscript"/>
        <sz val="12"/>
        <color theme="1"/>
        <rFont val="Calibri"/>
      </rPr>
      <t>h</t>
    </r>
    <r>
      <rPr>
        <sz val="12"/>
        <color theme="1"/>
        <rFont val="Calibri"/>
      </rPr>
      <t xml:space="preserve"> (cm)</t>
    </r>
  </si>
  <si>
    <t>I</t>
  </si>
  <si>
    <r>
      <rPr>
        <sz val="11"/>
        <color theme="1"/>
        <rFont val="Calibri"/>
      </rPr>
      <t>Momento negativo ou momento positivo de uma laje armada em uma direção (</t>
    </r>
    <r>
      <rPr>
        <sz val="11"/>
        <color theme="1"/>
        <rFont val="Calibri"/>
      </rPr>
      <t>λ&gt;2)</t>
    </r>
  </si>
  <si>
    <t>Não rigoroso</t>
  </si>
  <si>
    <r>
      <rPr>
        <sz val="11"/>
        <color theme="1"/>
        <rFont val="Calibri"/>
      </rPr>
      <t xml:space="preserve">momentos positivos de lajes com </t>
    </r>
    <r>
      <rPr>
        <sz val="11"/>
        <color theme="1"/>
        <rFont val="Calibri"/>
      </rPr>
      <t>λ&lt;=2</t>
    </r>
  </si>
  <si>
    <t>III</t>
  </si>
  <si>
    <r>
      <rPr>
        <sz val="11"/>
        <color theme="1"/>
        <rFont val="Calibri"/>
      </rPr>
      <t xml:space="preserve">Armadura de distribuição e armadura secundária para </t>
    </r>
    <r>
      <rPr>
        <sz val="11"/>
        <color theme="1"/>
        <rFont val="Calibri"/>
      </rPr>
      <t>λ&gt;2</t>
    </r>
  </si>
  <si>
    <t>IV</t>
  </si>
  <si>
    <t>DIMENSIONAMENTO DE LAJES À FLEXÃO SIMPLES (NBR 6118:2023)</t>
  </si>
  <si>
    <t xml:space="preserve">PEÇA ESTRUTURAL: </t>
  </si>
  <si>
    <r>
      <rPr>
        <b/>
        <sz val="12"/>
        <color theme="0"/>
        <rFont val="Calibri"/>
      </rPr>
      <t>b</t>
    </r>
    <r>
      <rPr>
        <b/>
        <vertAlign val="subscript"/>
        <sz val="12"/>
        <color theme="0"/>
        <rFont val="Calibri"/>
      </rPr>
      <t>w</t>
    </r>
    <r>
      <rPr>
        <b/>
        <sz val="12"/>
        <color theme="0"/>
        <rFont val="Calibri"/>
      </rPr>
      <t xml:space="preserve"> (cm)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</si>
  <si>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yd</t>
    </r>
    <r>
      <rPr>
        <sz val="12"/>
        <color theme="1"/>
        <rFont val="Calibri"/>
      </rPr>
      <t xml:space="preserve"> (KN/cm²)</t>
    </r>
  </si>
  <si>
    <r>
      <rPr>
        <sz val="11"/>
        <color theme="1"/>
        <rFont val="Calibri"/>
      </rPr>
      <t>M</t>
    </r>
    <r>
      <rPr>
        <vertAlign val="subscript"/>
        <sz val="11"/>
        <color theme="1"/>
        <rFont val="Calibri"/>
      </rPr>
      <t>dlim</t>
    </r>
    <r>
      <rPr>
        <sz val="11"/>
        <color theme="1"/>
        <rFont val="Calibri"/>
      </rPr>
      <t xml:space="preserve"> (KN.cm)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</si>
  <si>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sd</t>
    </r>
    <r>
      <rPr>
        <sz val="12"/>
        <color theme="1"/>
        <rFont val="Calibri"/>
      </rPr>
      <t xml:space="preserve"> (KN/cm²)</t>
    </r>
  </si>
  <si>
    <r>
      <rPr>
        <sz val="11"/>
        <color theme="1"/>
        <rFont val="Calibri"/>
      </rPr>
      <t>M</t>
    </r>
    <r>
      <rPr>
        <vertAlign val="subscript"/>
        <sz val="11"/>
        <color theme="1"/>
        <rFont val="Calibri"/>
      </rPr>
      <t>2</t>
    </r>
    <r>
      <rPr>
        <sz val="11"/>
        <color theme="1"/>
        <rFont val="Calibri"/>
      </rPr>
      <t xml:space="preserve"> (KN.cm)</t>
    </r>
  </si>
  <si>
    <r>
      <rPr>
        <b/>
        <sz val="12"/>
        <color theme="0"/>
        <rFont val="Calibri"/>
      </rPr>
      <t>M</t>
    </r>
    <r>
      <rPr>
        <b/>
        <vertAlign val="subscript"/>
        <sz val="12"/>
        <color theme="0"/>
        <rFont val="Calibri"/>
      </rPr>
      <t>sk</t>
    </r>
    <r>
      <rPr>
        <b/>
        <sz val="12"/>
        <color theme="0"/>
        <rFont val="Calibri"/>
      </rPr>
      <t xml:space="preserve"> (KN.m)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</si>
  <si>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ck</t>
    </r>
    <r>
      <rPr>
        <sz val="12"/>
        <color theme="1"/>
        <rFont val="Calibri"/>
      </rPr>
      <t xml:space="preserve"> (KN/cm²)</t>
    </r>
  </si>
  <si>
    <r>
      <rPr>
        <b/>
        <sz val="12"/>
        <color theme="0"/>
        <rFont val="Calibri"/>
      </rPr>
      <t>V</t>
    </r>
    <r>
      <rPr>
        <b/>
        <vertAlign val="subscript"/>
        <sz val="12"/>
        <color theme="0"/>
        <rFont val="Calibri"/>
      </rPr>
      <t xml:space="preserve">sk </t>
    </r>
    <r>
      <rPr>
        <b/>
        <sz val="12"/>
        <color theme="0"/>
        <rFont val="Calibri"/>
      </rPr>
      <t>(KN)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</si>
  <si>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cd</t>
    </r>
    <r>
      <rPr>
        <sz val="12"/>
        <color theme="1"/>
        <rFont val="Calibri"/>
      </rPr>
      <t xml:space="preserve"> (KN/cm²)</t>
    </r>
  </si>
  <si>
    <r>
      <rPr>
        <b/>
        <sz val="12"/>
        <color theme="0"/>
        <rFont val="Calibri"/>
      </rPr>
      <t>f</t>
    </r>
    <r>
      <rPr>
        <b/>
        <vertAlign val="subscript"/>
        <sz val="12"/>
        <color theme="0"/>
        <rFont val="Calibri"/>
      </rPr>
      <t>ck</t>
    </r>
    <r>
      <rPr>
        <b/>
        <sz val="12"/>
        <color theme="0"/>
        <rFont val="Calibri"/>
      </rPr>
      <t xml:space="preserve"> (MPa)</t>
    </r>
  </si>
  <si>
    <r>
      <rPr>
        <b/>
        <sz val="12"/>
        <color theme="0"/>
        <rFont val="Calibri"/>
      </rPr>
      <t>f</t>
    </r>
    <r>
      <rPr>
        <b/>
        <vertAlign val="subscript"/>
        <sz val="12"/>
        <color theme="0"/>
        <rFont val="Calibri"/>
      </rPr>
      <t>yk</t>
    </r>
    <r>
      <rPr>
        <b/>
        <sz val="12"/>
        <color theme="0"/>
        <rFont val="Calibri"/>
      </rPr>
      <t xml:space="preserve"> (KN/cm²)</t>
    </r>
  </si>
  <si>
    <r>
      <rPr>
        <sz val="12"/>
        <color theme="1"/>
        <rFont val="Calibri"/>
      </rPr>
      <t>α</t>
    </r>
    <r>
      <rPr>
        <vertAlign val="subscript"/>
        <sz val="12"/>
        <color theme="1"/>
        <rFont val="Calibri"/>
      </rPr>
      <t>c</t>
    </r>
  </si>
  <si>
    <r>
      <rPr>
        <sz val="12"/>
        <color theme="1"/>
        <rFont val="Calibri"/>
      </rPr>
      <t>β</t>
    </r>
    <r>
      <rPr>
        <vertAlign val="subscript"/>
        <sz val="12"/>
        <color theme="1"/>
        <rFont val="Calibri"/>
      </rPr>
      <t>x(2-3)</t>
    </r>
  </si>
  <si>
    <r>
      <rPr>
        <sz val="12"/>
        <color theme="1"/>
        <rFont val="Calibri"/>
      </rPr>
      <t>η</t>
    </r>
    <r>
      <rPr>
        <vertAlign val="subscript"/>
        <sz val="12"/>
        <color theme="1"/>
        <rFont val="Calibri"/>
      </rPr>
      <t>c</t>
    </r>
  </si>
  <si>
    <r>
      <rPr>
        <sz val="12"/>
        <color theme="1"/>
        <rFont val="Calibri"/>
      </rPr>
      <t>β</t>
    </r>
    <r>
      <rPr>
        <vertAlign val="subscript"/>
        <sz val="12"/>
        <color theme="1"/>
        <rFont val="Calibri"/>
      </rPr>
      <t>x(3-4)</t>
    </r>
  </si>
  <si>
    <r>
      <rPr>
        <sz val="12"/>
        <color theme="1"/>
        <rFont val="Calibri"/>
      </rPr>
      <t>M</t>
    </r>
    <r>
      <rPr>
        <vertAlign val="subscript"/>
        <sz val="12"/>
        <color theme="1"/>
        <rFont val="Calibri"/>
      </rPr>
      <t xml:space="preserve">sd </t>
    </r>
    <r>
      <rPr>
        <sz val="12"/>
        <color theme="1"/>
        <rFont val="Calibri"/>
      </rPr>
      <t>(KN.cm)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</si>
  <si>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>' (mm/m)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</si>
  <si>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(mm/m)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</si>
  <si>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yd</t>
    </r>
    <r>
      <rPr>
        <sz val="12"/>
        <color theme="1"/>
        <rFont val="Calibri"/>
      </rPr>
      <t xml:space="preserve"> (mm/m)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</si>
  <si>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cu</t>
    </r>
    <r>
      <rPr>
        <sz val="12"/>
        <color theme="1"/>
        <rFont val="Calibri"/>
      </rPr>
      <t xml:space="preserve"> (mm/m)</t>
    </r>
  </si>
  <si>
    <r>
      <rPr>
        <sz val="12"/>
        <color theme="1"/>
        <rFont val="Calibri"/>
      </rPr>
      <t>K</t>
    </r>
    <r>
      <rPr>
        <vertAlign val="subscript"/>
        <sz val="12"/>
        <color theme="1"/>
        <rFont val="Calibri"/>
      </rPr>
      <t>md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</si>
  <si>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s1,mín</t>
    </r>
    <r>
      <rPr>
        <sz val="12"/>
        <color theme="1"/>
        <rFont val="Calibri"/>
      </rPr>
      <t xml:space="preserve"> (cm²/m)</t>
    </r>
  </si>
  <si>
    <r>
      <rPr>
        <b/>
        <sz val="11"/>
        <color theme="1"/>
        <rFont val="Calibri"/>
      </rPr>
      <t xml:space="preserve">a) Armadura negativa e armadura positiva para </t>
    </r>
    <r>
      <rPr>
        <b/>
        <sz val="11"/>
        <color theme="1"/>
        <rFont val="Calibri"/>
      </rPr>
      <t>λ</t>
    </r>
    <r>
      <rPr>
        <b/>
        <sz val="12"/>
        <color theme="1"/>
        <rFont val="Calibri"/>
      </rPr>
      <t>&gt;2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</si>
  <si>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 xml:space="preserve">s2,mín </t>
    </r>
    <r>
      <rPr>
        <sz val="12"/>
        <color theme="1"/>
        <rFont val="Calibri"/>
      </rPr>
      <t>(cm²/m)</t>
    </r>
  </si>
  <si>
    <r>
      <rPr>
        <b/>
        <sz val="11"/>
        <color theme="1"/>
        <rFont val="Calibri"/>
      </rPr>
      <t xml:space="preserve">b) Laje com </t>
    </r>
    <r>
      <rPr>
        <b/>
        <sz val="11"/>
        <color theme="1"/>
        <rFont val="Calibri"/>
      </rPr>
      <t>λ≤</t>
    </r>
    <r>
      <rPr>
        <b/>
        <sz val="12"/>
        <color theme="1"/>
        <rFont val="Calibri"/>
      </rPr>
      <t>2</t>
    </r>
    <r>
      <rPr>
        <b/>
        <sz val="11"/>
        <color theme="1"/>
        <rFont val="Calibri"/>
      </rPr>
      <t xml:space="preserve"> (momentos positivos)</t>
    </r>
  </si>
  <si>
    <r>
      <rPr>
        <sz val="12"/>
        <color theme="1"/>
        <rFont val="Calibri"/>
      </rPr>
      <t>β</t>
    </r>
    <r>
      <rPr>
        <vertAlign val="subscript"/>
        <sz val="12"/>
        <color theme="1"/>
        <rFont val="Calibri"/>
      </rPr>
      <t>x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</si>
  <si>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s3,mín</t>
    </r>
    <r>
      <rPr>
        <sz val="12"/>
        <color theme="1"/>
        <rFont val="Calibri"/>
      </rPr>
      <t xml:space="preserve"> (cm²/m)</t>
    </r>
  </si>
  <si>
    <t>c) Armadura de distribuição e armadura secundária para λ&gt;2</t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</si>
  <si>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(cm²/m) 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</si>
  <si>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(cm²/m)</t>
    </r>
  </si>
  <si>
    <t>Diâmetro (mm)</t>
  </si>
  <si>
    <t>Área de aço (cm²)</t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</si>
  <si>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>'</t>
    </r>
    <r>
      <rPr>
        <vertAlign val="subscript"/>
        <sz val="12"/>
        <color theme="1"/>
        <rFont val="Calibri"/>
      </rPr>
      <t xml:space="preserve"> </t>
    </r>
    <r>
      <rPr>
        <sz val="12"/>
        <color theme="1"/>
        <rFont val="Calibri"/>
      </rPr>
      <t>(cm²/m)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</si>
  <si>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s,total</t>
    </r>
    <r>
      <rPr>
        <sz val="12"/>
        <color theme="1"/>
        <rFont val="Calibri"/>
      </rPr>
      <t xml:space="preserve"> (cm²/m)</t>
    </r>
  </si>
  <si>
    <t>Tabela 1 - Espaçamento entre barras para aço CA-50A</t>
  </si>
  <si>
    <t>Diâmetro (ɸ)</t>
  </si>
  <si>
    <t>ɸ = 5.0 mm</t>
  </si>
  <si>
    <t>ɸ = 6.3 mm</t>
  </si>
  <si>
    <t>ɸ = 8.0 mm</t>
  </si>
  <si>
    <t>ɸ = 10.0 mm</t>
  </si>
  <si>
    <t>ɸ = 12.5 mm</t>
  </si>
  <si>
    <r>
      <rPr>
        <sz val="12"/>
        <color theme="1"/>
        <rFont val="Calibri"/>
      </rPr>
      <t>s</t>
    </r>
    <r>
      <rPr>
        <vertAlign val="subscript"/>
        <sz val="12"/>
        <color theme="1"/>
        <rFont val="Calibri"/>
      </rPr>
      <t>calculado</t>
    </r>
    <r>
      <rPr>
        <sz val="12"/>
        <color theme="1"/>
        <rFont val="Calibri"/>
      </rPr>
      <t xml:space="preserve"> (cm)</t>
    </r>
  </si>
  <si>
    <r>
      <rPr>
        <sz val="12"/>
        <color theme="1"/>
        <rFont val="Calibri"/>
      </rPr>
      <t>s</t>
    </r>
    <r>
      <rPr>
        <vertAlign val="subscript"/>
        <sz val="12"/>
        <color theme="1"/>
        <rFont val="Calibri"/>
      </rPr>
      <t>mín(As1,mín)</t>
    </r>
  </si>
  <si>
    <r>
      <rPr>
        <sz val="12"/>
        <color theme="1"/>
        <rFont val="Calibri"/>
      </rPr>
      <t>s</t>
    </r>
    <r>
      <rPr>
        <vertAlign val="subscript"/>
        <sz val="12"/>
        <color theme="1"/>
        <rFont val="Calibri"/>
      </rPr>
      <t>mín(As2,mín)</t>
    </r>
  </si>
  <si>
    <t>Diâmetro</t>
  </si>
  <si>
    <r>
      <rPr>
        <sz val="12"/>
        <color theme="1"/>
        <rFont val="Calibri"/>
      </rPr>
      <t>s</t>
    </r>
    <r>
      <rPr>
        <vertAlign val="subscript"/>
        <sz val="12"/>
        <color theme="1"/>
        <rFont val="Calibri"/>
      </rPr>
      <t>mín(As3,mín)</t>
    </r>
  </si>
  <si>
    <t>Área da barra</t>
  </si>
  <si>
    <t>Tabela 2 - Espaçamento entre barras para aço CA-60A</t>
  </si>
  <si>
    <t>área da barra</t>
  </si>
  <si>
    <r>
      <rPr>
        <sz val="12"/>
        <color theme="1"/>
        <rFont val="Calibri"/>
      </rPr>
      <t>s</t>
    </r>
    <r>
      <rPr>
        <vertAlign val="subscript"/>
        <sz val="12"/>
        <color theme="1"/>
        <rFont val="Calibri"/>
      </rPr>
      <t>calculado</t>
    </r>
    <r>
      <rPr>
        <sz val="12"/>
        <color theme="1"/>
        <rFont val="Calibri"/>
      </rPr>
      <t xml:space="preserve"> (cm)</t>
    </r>
  </si>
  <si>
    <r>
      <rPr>
        <sz val="12"/>
        <color theme="1"/>
        <rFont val="Calibri"/>
      </rPr>
      <t>s</t>
    </r>
    <r>
      <rPr>
        <vertAlign val="subscript"/>
        <sz val="12"/>
        <color theme="1"/>
        <rFont val="Calibri"/>
      </rPr>
      <t>mín(As1,mín)</t>
    </r>
  </si>
  <si>
    <r>
      <rPr>
        <sz val="12"/>
        <color theme="1"/>
        <rFont val="Calibri"/>
      </rPr>
      <t>s</t>
    </r>
    <r>
      <rPr>
        <vertAlign val="subscript"/>
        <sz val="12"/>
        <color theme="1"/>
        <rFont val="Calibri"/>
      </rPr>
      <t>mín(As2,mín)</t>
    </r>
  </si>
  <si>
    <r>
      <rPr>
        <sz val="12"/>
        <color theme="1"/>
        <rFont val="Calibri"/>
      </rPr>
      <t>s</t>
    </r>
    <r>
      <rPr>
        <vertAlign val="subscript"/>
        <sz val="12"/>
        <color theme="1"/>
        <rFont val="Calibri"/>
      </rPr>
      <t>mín(As3,mín)</t>
    </r>
  </si>
  <si>
    <t>OBS:</t>
  </si>
  <si>
    <r>
      <rPr>
        <sz val="14"/>
        <color theme="1"/>
        <rFont val="Calibri"/>
      </rPr>
      <t>1) s</t>
    </r>
    <r>
      <rPr>
        <vertAlign val="subscript"/>
        <sz val="14"/>
        <color theme="1"/>
        <rFont val="Calibri"/>
      </rPr>
      <t>máx</t>
    </r>
    <r>
      <rPr>
        <sz val="14"/>
        <color theme="1"/>
        <rFont val="Calibri"/>
      </rPr>
      <t xml:space="preserve"> ≤ (20 cm e 2h) - ARMADURAS PRINCIPAIS</t>
    </r>
  </si>
  <si>
    <r>
      <rPr>
        <sz val="14"/>
        <color theme="1"/>
        <rFont val="Calibri"/>
      </rPr>
      <t>2) Para armaduras secundárias e de distribuição (λ&gt;2): S</t>
    </r>
    <r>
      <rPr>
        <vertAlign val="subscript"/>
        <sz val="14"/>
        <color theme="1"/>
        <rFont val="Calibri"/>
      </rPr>
      <t>máx</t>
    </r>
    <r>
      <rPr>
        <sz val="14"/>
        <color theme="1"/>
        <rFont val="Calibri"/>
      </rPr>
      <t xml:space="preserve"> = 33 cm</t>
    </r>
  </si>
  <si>
    <r>
      <rPr>
        <sz val="14"/>
        <color theme="1"/>
        <rFont val="Calibri"/>
      </rPr>
      <t>3) s</t>
    </r>
    <r>
      <rPr>
        <vertAlign val="subscript"/>
        <sz val="14"/>
        <color theme="1"/>
        <rFont val="Calibri"/>
      </rPr>
      <t>mín</t>
    </r>
    <r>
      <rPr>
        <sz val="14"/>
        <color theme="1"/>
        <rFont val="Calibri"/>
      </rPr>
      <t xml:space="preserve"> = 5 cm</t>
    </r>
  </si>
  <si>
    <r>
      <rPr>
        <sz val="12"/>
        <color theme="1"/>
        <rFont val="Calibri"/>
      </rPr>
      <t>b</t>
    </r>
    <r>
      <rPr>
        <vertAlign val="subscript"/>
        <sz val="12"/>
        <color theme="1"/>
        <rFont val="Calibri"/>
      </rPr>
      <t xml:space="preserve">w </t>
    </r>
    <r>
      <rPr>
        <sz val="12"/>
        <color theme="1"/>
        <rFont val="Calibri"/>
      </rPr>
      <t>(cm)</t>
    </r>
  </si>
  <si>
    <r>
      <rPr>
        <sz val="12"/>
        <color theme="1"/>
        <rFont val="Calibri"/>
      </rPr>
      <t>ɸ</t>
    </r>
    <r>
      <rPr>
        <vertAlign val="subscript"/>
        <sz val="12"/>
        <color theme="1"/>
        <rFont val="Calibri"/>
      </rPr>
      <t>l</t>
    </r>
    <r>
      <rPr>
        <sz val="12"/>
        <color theme="1"/>
        <rFont val="Calibri"/>
      </rPr>
      <t xml:space="preserve"> (cm)</t>
    </r>
  </si>
  <si>
    <r>
      <rPr>
        <sz val="12"/>
        <color theme="1"/>
        <rFont val="Calibri"/>
      </rPr>
      <t>d</t>
    </r>
    <r>
      <rPr>
        <vertAlign val="subscript"/>
        <sz val="12"/>
        <color theme="1"/>
        <rFont val="Calibri"/>
      </rPr>
      <t xml:space="preserve">máx,agr </t>
    </r>
    <r>
      <rPr>
        <sz val="12"/>
        <color theme="1"/>
        <rFont val="Calibri"/>
      </rPr>
      <t>(cm)</t>
    </r>
  </si>
  <si>
    <r>
      <rPr>
        <sz val="12"/>
        <color theme="1"/>
        <rFont val="Calibri"/>
      </rPr>
      <t>e</t>
    </r>
    <r>
      <rPr>
        <vertAlign val="subscript"/>
        <sz val="12"/>
        <color theme="1"/>
        <rFont val="Calibri"/>
      </rPr>
      <t>h</t>
    </r>
    <r>
      <rPr>
        <sz val="12"/>
        <color theme="1"/>
        <rFont val="Calibri"/>
      </rPr>
      <t xml:space="preserve"> (cm)</t>
    </r>
  </si>
  <si>
    <r>
      <rPr>
        <b/>
        <sz val="14"/>
        <color theme="0"/>
        <rFont val="Calibri"/>
      </rPr>
      <t>RESULTADOS DE CISALHAMENTO (ARMADURA DE CISALHAMENTO) - MODELO I (</t>
    </r>
    <r>
      <rPr>
        <b/>
        <sz val="14"/>
        <color theme="0"/>
        <rFont val="Calibri"/>
      </rPr>
      <t>θ=45°)</t>
    </r>
  </si>
  <si>
    <r>
      <rPr>
        <sz val="12"/>
        <color theme="1"/>
        <rFont val="Calibri"/>
      </rPr>
      <t>V</t>
    </r>
    <r>
      <rPr>
        <vertAlign val="subscript"/>
        <sz val="12"/>
        <color theme="1"/>
        <rFont val="Calibri"/>
      </rPr>
      <t>sd</t>
    </r>
    <r>
      <rPr>
        <sz val="12"/>
        <color theme="1"/>
        <rFont val="Calibri"/>
      </rPr>
      <t xml:space="preserve"> (KN)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</si>
  <si>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ctd</t>
    </r>
    <r>
      <rPr>
        <sz val="12"/>
        <color theme="1"/>
        <rFont val="Calibri"/>
      </rPr>
      <t xml:space="preserve"> (KN/cm²)</t>
    </r>
  </si>
  <si>
    <r>
      <rPr>
        <sz val="12"/>
        <color theme="1"/>
        <rFont val="Calibri"/>
      </rPr>
      <t>τ</t>
    </r>
    <r>
      <rPr>
        <vertAlign val="subscript"/>
        <sz val="12"/>
        <color theme="1"/>
        <rFont val="Calibri"/>
      </rPr>
      <t xml:space="preserve">rd </t>
    </r>
    <r>
      <rPr>
        <sz val="12"/>
        <color theme="1"/>
        <rFont val="Calibri"/>
      </rPr>
      <t>(KN/cm²)</t>
    </r>
  </si>
  <si>
    <r>
      <rPr>
        <sz val="12"/>
        <color theme="1"/>
        <rFont val="Calibri"/>
      </rPr>
      <t>ρ</t>
    </r>
    <r>
      <rPr>
        <vertAlign val="subscript"/>
        <sz val="12"/>
        <color theme="1"/>
        <rFont val="Calibri"/>
      </rPr>
      <t>1</t>
    </r>
  </si>
  <si>
    <t>K</t>
  </si>
  <si>
    <r>
      <rPr>
        <sz val="12"/>
        <color theme="1"/>
        <rFont val="Calibri"/>
      </rPr>
      <t>V</t>
    </r>
    <r>
      <rPr>
        <vertAlign val="subscript"/>
        <sz val="12"/>
        <color theme="1"/>
        <rFont val="Calibri"/>
      </rPr>
      <t>rd1</t>
    </r>
    <r>
      <rPr>
        <sz val="12"/>
        <color theme="1"/>
        <rFont val="Calibri"/>
      </rPr>
      <t xml:space="preserve"> (KN)</t>
    </r>
  </si>
  <si>
    <t>PEÇAS RETANGULARES SUJEITAS À FLEXOCOMPRESSÃO</t>
  </si>
  <si>
    <t>PILAR</t>
  </si>
  <si>
    <t>h (paralelo ao plano do momento em cm)</t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</si>
  <si>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yd</t>
    </r>
    <r>
      <rPr>
        <sz val="12"/>
        <color theme="1"/>
        <rFont val="Calibri"/>
      </rPr>
      <t xml:space="preserve"> (KN/cm²)</t>
    </r>
  </si>
  <si>
    <r>
      <rPr>
        <sz val="12"/>
        <color theme="1"/>
        <rFont val="Calibri"/>
      </rPr>
      <t>M</t>
    </r>
    <r>
      <rPr>
        <vertAlign val="subscript"/>
        <sz val="12"/>
        <color theme="1"/>
        <rFont val="Calibri"/>
      </rPr>
      <t xml:space="preserve">d </t>
    </r>
    <r>
      <rPr>
        <sz val="12"/>
        <color theme="1"/>
        <rFont val="Calibri"/>
      </rPr>
      <t>(KN.cm)</t>
    </r>
  </si>
  <si>
    <r>
      <rPr>
        <b/>
        <sz val="12"/>
        <color theme="0"/>
        <rFont val="Calibri"/>
      </rPr>
      <t>b</t>
    </r>
    <r>
      <rPr>
        <b/>
        <vertAlign val="subscript"/>
        <sz val="12"/>
        <color theme="0"/>
        <rFont val="Calibri"/>
      </rPr>
      <t xml:space="preserve"> </t>
    </r>
    <r>
      <rPr>
        <b/>
        <sz val="12"/>
        <color theme="0"/>
        <rFont val="Calibri"/>
      </rPr>
      <t>(cm)</t>
    </r>
  </si>
  <si>
    <r>
      <rPr>
        <sz val="12"/>
        <color theme="1"/>
        <rFont val="Calibri"/>
      </rPr>
      <t>f'</t>
    </r>
    <r>
      <rPr>
        <vertAlign val="subscript"/>
        <sz val="12"/>
        <color theme="1"/>
        <rFont val="Calibri"/>
      </rPr>
      <t>yd</t>
    </r>
    <r>
      <rPr>
        <sz val="12"/>
        <color theme="1"/>
        <rFont val="Calibri"/>
      </rPr>
      <t xml:space="preserve"> (KN/cm²)</t>
    </r>
  </si>
  <si>
    <r>
      <rPr>
        <sz val="12"/>
        <color theme="1"/>
        <rFont val="Calibri"/>
      </rPr>
      <t>N</t>
    </r>
    <r>
      <rPr>
        <vertAlign val="subscript"/>
        <sz val="12"/>
        <color theme="1"/>
        <rFont val="Calibri"/>
      </rPr>
      <t xml:space="preserve">d </t>
    </r>
    <r>
      <rPr>
        <sz val="12"/>
        <color theme="1"/>
        <rFont val="Calibri"/>
      </rPr>
      <t>(KN)</t>
    </r>
  </si>
  <si>
    <r>
      <rPr>
        <b/>
        <sz val="12"/>
        <color theme="0"/>
        <rFont val="Calibri"/>
      </rPr>
      <t>M</t>
    </r>
    <r>
      <rPr>
        <b/>
        <vertAlign val="subscript"/>
        <sz val="12"/>
        <color theme="0"/>
        <rFont val="Calibri"/>
      </rPr>
      <t>sk</t>
    </r>
    <r>
      <rPr>
        <b/>
        <sz val="12"/>
        <color theme="0"/>
        <rFont val="Calibri"/>
      </rPr>
      <t xml:space="preserve"> (KN.m)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</si>
  <si>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sd</t>
    </r>
    <r>
      <rPr>
        <sz val="12"/>
        <color theme="1"/>
        <rFont val="Calibri"/>
      </rPr>
      <t xml:space="preserve"> (KN/cm²)</t>
    </r>
  </si>
  <si>
    <r>
      <rPr>
        <sz val="12"/>
        <color theme="1"/>
        <rFont val="Calibri"/>
      </rPr>
      <t>M</t>
    </r>
    <r>
      <rPr>
        <vertAlign val="subscript"/>
        <sz val="12"/>
        <color theme="1"/>
        <rFont val="Calibri"/>
      </rPr>
      <t>sd</t>
    </r>
    <r>
      <rPr>
        <sz val="12"/>
        <color theme="1"/>
        <rFont val="Calibri"/>
      </rPr>
      <t>' (KN.cm)</t>
    </r>
  </si>
  <si>
    <r>
      <rPr>
        <b/>
        <sz val="12"/>
        <color theme="0"/>
        <rFont val="Calibri"/>
      </rPr>
      <t>N</t>
    </r>
    <r>
      <rPr>
        <b/>
        <vertAlign val="subscript"/>
        <sz val="12"/>
        <color theme="0"/>
        <rFont val="Calibri"/>
      </rPr>
      <t xml:space="preserve">sk </t>
    </r>
    <r>
      <rPr>
        <b/>
        <sz val="12"/>
        <color theme="0"/>
        <rFont val="Calibri"/>
      </rPr>
      <t>(KN)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</si>
  <si>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ck</t>
    </r>
    <r>
      <rPr>
        <sz val="12"/>
        <color theme="1"/>
        <rFont val="Calibri"/>
      </rPr>
      <t xml:space="preserve"> (KN/cm²)</t>
    </r>
  </si>
  <si>
    <r>
      <rPr>
        <sz val="12"/>
        <color theme="1"/>
        <rFont val="Calibri"/>
      </rPr>
      <t>M</t>
    </r>
    <r>
      <rPr>
        <vertAlign val="subscript"/>
        <sz val="12"/>
        <color theme="1"/>
        <rFont val="Calibri"/>
      </rPr>
      <t>cd</t>
    </r>
    <r>
      <rPr>
        <sz val="12"/>
        <color theme="1"/>
        <rFont val="Calibri"/>
      </rPr>
      <t>' (KN.cm)</t>
    </r>
  </si>
  <si>
    <r>
      <rPr>
        <b/>
        <sz val="12"/>
        <color theme="0"/>
        <rFont val="Calibri"/>
      </rPr>
      <t>f</t>
    </r>
    <r>
      <rPr>
        <b/>
        <vertAlign val="subscript"/>
        <sz val="12"/>
        <color theme="0"/>
        <rFont val="Calibri"/>
      </rPr>
      <t>ck</t>
    </r>
    <r>
      <rPr>
        <b/>
        <sz val="12"/>
        <color theme="0"/>
        <rFont val="Calibri"/>
      </rPr>
      <t xml:space="preserve"> (MPa)</t>
    </r>
  </si>
  <si>
    <r>
      <rPr>
        <sz val="12"/>
        <color theme="1"/>
        <rFont val="Calibri"/>
      </rPr>
      <t>f</t>
    </r>
    <r>
      <rPr>
        <vertAlign val="subscript"/>
        <sz val="12"/>
        <color theme="1"/>
        <rFont val="Calibri"/>
      </rPr>
      <t>cd</t>
    </r>
    <r>
      <rPr>
        <sz val="12"/>
        <color theme="1"/>
        <rFont val="Calibri"/>
      </rPr>
      <t xml:space="preserve"> (KN/cm²)</t>
    </r>
  </si>
  <si>
    <r>
      <rPr>
        <sz val="12"/>
        <color theme="1"/>
        <rFont val="Calibri"/>
      </rPr>
      <t>K</t>
    </r>
    <r>
      <rPr>
        <vertAlign val="subscript"/>
        <sz val="12"/>
        <color theme="1"/>
        <rFont val="Calibri"/>
      </rPr>
      <t>m</t>
    </r>
    <r>
      <rPr>
        <sz val="12"/>
        <color theme="1"/>
        <rFont val="Calibri"/>
      </rPr>
      <t xml:space="preserve"> (KN.cm)</t>
    </r>
  </si>
  <si>
    <r>
      <rPr>
        <b/>
        <sz val="12"/>
        <color theme="0"/>
        <rFont val="Calibri"/>
      </rPr>
      <t>f</t>
    </r>
    <r>
      <rPr>
        <b/>
        <vertAlign val="subscript"/>
        <sz val="12"/>
        <color theme="0"/>
        <rFont val="Calibri"/>
      </rPr>
      <t>yk</t>
    </r>
    <r>
      <rPr>
        <b/>
        <sz val="12"/>
        <color theme="0"/>
        <rFont val="Calibri"/>
      </rPr>
      <t xml:space="preserve"> (KN/cm²)</t>
    </r>
  </si>
  <si>
    <r>
      <rPr>
        <sz val="12"/>
        <color theme="1"/>
        <rFont val="Calibri"/>
      </rPr>
      <t>M</t>
    </r>
    <r>
      <rPr>
        <vertAlign val="subscript"/>
        <sz val="12"/>
        <color theme="1"/>
        <rFont val="Calibri"/>
      </rPr>
      <t>sd</t>
    </r>
    <r>
      <rPr>
        <sz val="12"/>
        <color theme="1"/>
        <rFont val="Calibri"/>
      </rPr>
      <t xml:space="preserve"> (KN.cm)</t>
    </r>
  </si>
  <si>
    <r>
      <rPr>
        <sz val="12"/>
        <color theme="1"/>
        <rFont val="Calibri"/>
      </rPr>
      <t>α</t>
    </r>
    <r>
      <rPr>
        <vertAlign val="subscript"/>
        <sz val="12"/>
        <color theme="1"/>
        <rFont val="Calibri"/>
      </rPr>
      <t>c</t>
    </r>
  </si>
  <si>
    <r>
      <rPr>
        <sz val="12"/>
        <color theme="1"/>
        <rFont val="Calibri"/>
      </rPr>
      <t>M</t>
    </r>
    <r>
      <rPr>
        <vertAlign val="subscript"/>
        <sz val="12"/>
        <color theme="1"/>
        <rFont val="Calibri"/>
      </rPr>
      <t>dlim</t>
    </r>
    <r>
      <rPr>
        <sz val="12"/>
        <color theme="1"/>
        <rFont val="Calibri"/>
      </rPr>
      <t xml:space="preserve"> (KN.cm)</t>
    </r>
  </si>
  <si>
    <r>
      <rPr>
        <sz val="12"/>
        <color theme="1"/>
        <rFont val="Calibri"/>
      </rPr>
      <t>η</t>
    </r>
    <r>
      <rPr>
        <vertAlign val="subscript"/>
        <sz val="12"/>
        <color theme="1"/>
        <rFont val="Calibri"/>
      </rPr>
      <t>c</t>
    </r>
  </si>
  <si>
    <r>
      <rPr>
        <sz val="12"/>
        <color theme="1"/>
        <rFont val="Calibri"/>
      </rPr>
      <t>M</t>
    </r>
    <r>
      <rPr>
        <vertAlign val="subscript"/>
        <sz val="12"/>
        <color theme="1"/>
        <rFont val="Calibri"/>
      </rPr>
      <t>2</t>
    </r>
    <r>
      <rPr>
        <sz val="12"/>
        <color theme="1"/>
        <rFont val="Calibri"/>
      </rPr>
      <t xml:space="preserve"> (KN.cm)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</si>
  <si>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(mm/m)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</si>
  <si>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>' (mm/m)</t>
    </r>
  </si>
  <si>
    <r>
      <rPr>
        <sz val="12"/>
        <color theme="1"/>
        <rFont val="Calibri"/>
      </rPr>
      <t>ε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>' (mm/m)</t>
    </r>
  </si>
  <si>
    <t>RESULTADOS DE FLEXOCOMPRESSÃO COM GRANDE EXCENTRICIDADE (ARMADURA SIMPLES/ARMADURA DUPLA)</t>
  </si>
  <si>
    <r>
      <rPr>
        <sz val="12"/>
        <color theme="1"/>
        <rFont val="Calibri"/>
      </rPr>
      <t>K</t>
    </r>
    <r>
      <rPr>
        <vertAlign val="subscript"/>
        <sz val="12"/>
        <color theme="1"/>
        <rFont val="Calibri"/>
      </rPr>
      <t>md</t>
    </r>
  </si>
  <si>
    <r>
      <rPr>
        <sz val="12"/>
        <color theme="1"/>
        <rFont val="Calibri"/>
      </rPr>
      <t>β</t>
    </r>
    <r>
      <rPr>
        <vertAlign val="subscript"/>
        <sz val="12"/>
        <color theme="1"/>
        <rFont val="Calibri"/>
      </rPr>
      <t>x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</si>
  <si>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(cm²) 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</si>
  <si>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(cm²)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</si>
  <si>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(cm²) </t>
    </r>
  </si>
  <si>
    <r>
      <rPr>
        <sz val="12"/>
        <color theme="1"/>
        <rFont val="Calibri"/>
      </rPr>
      <t>A'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>(cm²)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</si>
  <si>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>'</t>
    </r>
    <r>
      <rPr>
        <vertAlign val="subscript"/>
        <sz val="12"/>
        <color theme="1"/>
        <rFont val="Calibri"/>
      </rPr>
      <t xml:space="preserve"> </t>
    </r>
    <r>
      <rPr>
        <sz val="12"/>
        <color theme="1"/>
        <rFont val="Calibri"/>
      </rPr>
      <t>(cm²)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</si>
  <si>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s,total</t>
    </r>
    <r>
      <rPr>
        <sz val="12"/>
        <color theme="1"/>
        <rFont val="Calibri"/>
      </rPr>
      <t xml:space="preserve"> (cm²)</t>
    </r>
  </si>
  <si>
    <r>
      <rPr>
        <sz val="12"/>
        <color theme="1"/>
        <rFont val="Calibri"/>
      </rPr>
      <t>A</t>
    </r>
    <r>
      <rPr>
        <vertAlign val="subscript"/>
        <sz val="12"/>
        <color theme="1"/>
        <rFont val="Calibri"/>
      </rPr>
      <t>s</t>
    </r>
    <r>
      <rPr>
        <sz val="12"/>
        <color theme="1"/>
        <rFont val="Calibri"/>
      </rPr>
      <t xml:space="preserve"> (cm²) </t>
    </r>
  </si>
  <si>
    <r>
      <rPr>
        <sz val="12"/>
        <color theme="1"/>
        <rFont val="Calibri"/>
      </rPr>
      <t>A'</t>
    </r>
    <r>
      <rPr>
        <vertAlign val="subscript"/>
        <sz val="12"/>
        <color theme="1"/>
        <rFont val="Calibri"/>
      </rPr>
      <t xml:space="preserve">s </t>
    </r>
    <r>
      <rPr>
        <sz val="12"/>
        <color theme="1"/>
        <rFont val="Calibri"/>
      </rPr>
      <t>(cm²)</t>
    </r>
  </si>
  <si>
    <r>
      <rPr>
        <sz val="12"/>
        <color theme="1"/>
        <rFont val="Calibri"/>
      </rPr>
      <t>b</t>
    </r>
    <r>
      <rPr>
        <vertAlign val="subscript"/>
        <sz val="12"/>
        <color theme="1"/>
        <rFont val="Calibri"/>
      </rPr>
      <t xml:space="preserve">w </t>
    </r>
    <r>
      <rPr>
        <sz val="12"/>
        <color theme="1"/>
        <rFont val="Calibri"/>
      </rPr>
      <t>(cm)</t>
    </r>
  </si>
  <si>
    <r>
      <rPr>
        <sz val="12"/>
        <color theme="1"/>
        <rFont val="Calibri"/>
      </rPr>
      <t>ɸ</t>
    </r>
    <r>
      <rPr>
        <vertAlign val="subscript"/>
        <sz val="12"/>
        <color theme="1"/>
        <rFont val="Calibri"/>
      </rPr>
      <t>l</t>
    </r>
    <r>
      <rPr>
        <sz val="12"/>
        <color theme="1"/>
        <rFont val="Calibri"/>
      </rPr>
      <t xml:space="preserve"> (cm)</t>
    </r>
  </si>
  <si>
    <r>
      <rPr>
        <sz val="12"/>
        <color theme="1"/>
        <rFont val="Calibri"/>
      </rPr>
      <t>d</t>
    </r>
    <r>
      <rPr>
        <vertAlign val="subscript"/>
        <sz val="12"/>
        <color theme="1"/>
        <rFont val="Calibri"/>
      </rPr>
      <t xml:space="preserve">máx,agr </t>
    </r>
    <r>
      <rPr>
        <sz val="12"/>
        <color theme="1"/>
        <rFont val="Calibri"/>
      </rPr>
      <t>(cm)</t>
    </r>
  </si>
  <si>
    <r>
      <rPr>
        <sz val="12"/>
        <color theme="1"/>
        <rFont val="Calibri"/>
      </rPr>
      <t>e</t>
    </r>
    <r>
      <rPr>
        <vertAlign val="subscript"/>
        <sz val="12"/>
        <color theme="1"/>
        <rFont val="Calibri"/>
      </rPr>
      <t>h</t>
    </r>
    <r>
      <rPr>
        <sz val="12"/>
        <color theme="1"/>
        <rFont val="Calibri"/>
      </rPr>
      <t xml:space="preserve"> (cm)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</si>
</sst>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18">
    <font>
      <sz val="11"/>
      <color theme="1"/>
      <name val="Calibri"/>
      <scheme val="minor"/>
    </font>
    <font>
      <b/>
      <sz val="14"/>
      <color theme="0"/>
      <name val="Calibri"/>
    </font>
    <font>
      <sz val="11"/>
      <name val="Calibri"/>
    </font>
    <font>
      <sz val="14"/>
      <color theme="1"/>
      <name val="Calibri"/>
    </font>
    <font>
      <sz val="14"/>
      <color theme="0"/>
      <name val="Calibri"/>
    </font>
    <font>
      <sz val="11"/>
      <color theme="1"/>
      <name val="Calibri"/>
    </font>
    <font>
      <b/>
      <sz val="12"/>
      <color theme="0"/>
      <name val="Calibri"/>
    </font>
    <font>
      <sz val="12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b/>
      <sz val="20"/>
      <color theme="1"/>
      <name val="Calibri"/>
    </font>
    <font>
      <b/>
      <sz val="20"/>
      <color theme="0"/>
      <name val="Calibri"/>
    </font>
    <font>
      <b/>
      <sz val="16"/>
      <color theme="0"/>
      <name val="Calibri"/>
    </font>
    <font>
      <b/>
      <vertAlign val="subscript"/>
      <sz val="12"/>
      <color theme="0"/>
      <name val="Calibri"/>
    </font>
    <font>
      <vertAlign val="subscript"/>
      <sz val="12"/>
      <color theme="1"/>
      <name val="Calibri"/>
    </font>
    <font>
      <vertAlign val="subscript"/>
      <sz val="11"/>
      <color theme="1"/>
      <name val="Calibri"/>
    </font>
    <font>
      <vertAlign val="subscript"/>
      <sz val="14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C00000"/>
        <bgColor rgb="FFC000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/>
    </xf>
    <xf numFmtId="0" fontId="7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7" fillId="0" borderId="5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7" borderId="4" xfId="0" applyFont="1" applyFill="1" applyBorder="1" applyAlignment="1">
      <alignment horizontal="right"/>
    </xf>
    <xf numFmtId="0" fontId="8" fillId="0" borderId="0" xfId="0" applyFont="1"/>
    <xf numFmtId="0" fontId="7" fillId="0" borderId="0" xfId="0" applyFont="1"/>
    <xf numFmtId="0" fontId="10" fillId="0" borderId="0" xfId="0" applyFont="1"/>
    <xf numFmtId="2" fontId="5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16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2" fontId="5" fillId="0" borderId="0" xfId="0" applyNumberFormat="1" applyFont="1"/>
    <xf numFmtId="0" fontId="7" fillId="0" borderId="0" xfId="0" applyFont="1" applyAlignment="1">
      <alignment horizontal="right" vertical="center"/>
    </xf>
    <xf numFmtId="0" fontId="13" fillId="3" borderId="4" xfId="0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5" fillId="3" borderId="4" xfId="0" applyFont="1" applyFill="1" applyBorder="1"/>
    <xf numFmtId="0" fontId="5" fillId="0" borderId="5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8" fillId="3" borderId="4" xfId="0" applyFont="1" applyFill="1" applyBorder="1" applyAlignment="1">
      <alignment horizontal="left"/>
    </xf>
    <xf numFmtId="2" fontId="9" fillId="0" borderId="5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9" fillId="3" borderId="4" xfId="0" applyFont="1" applyFill="1" applyBorder="1"/>
    <xf numFmtId="0" fontId="9" fillId="3" borderId="4" xfId="0" applyFont="1" applyFill="1" applyBorder="1" applyAlignment="1">
      <alignment horizontal="center" vertical="center"/>
    </xf>
    <xf numFmtId="1" fontId="7" fillId="3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2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/>
    </xf>
    <xf numFmtId="2" fontId="7" fillId="0" borderId="0" xfId="0" applyNumberFormat="1" applyFont="1"/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right"/>
    </xf>
    <xf numFmtId="0" fontId="5" fillId="0" borderId="9" xfId="0" applyFont="1" applyBorder="1"/>
    <xf numFmtId="0" fontId="12" fillId="3" borderId="9" xfId="0" applyFont="1" applyFill="1" applyBorder="1" applyAlignment="1">
      <alignment vertical="center"/>
    </xf>
    <xf numFmtId="0" fontId="11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0" fillId="0" borderId="9" xfId="0" applyBorder="1"/>
    <xf numFmtId="1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7" fillId="3" borderId="9" xfId="0" applyFont="1" applyFill="1" applyBorder="1" applyAlignment="1">
      <alignment horizontal="center" vertical="center"/>
    </xf>
    <xf numFmtId="0" fontId="9" fillId="0" borderId="9" xfId="0" applyFont="1" applyBorder="1"/>
    <xf numFmtId="0" fontId="7" fillId="0" borderId="9" xfId="0" applyFont="1" applyBorder="1" applyAlignment="1">
      <alignment vertical="center"/>
    </xf>
    <xf numFmtId="2" fontId="7" fillId="0" borderId="9" xfId="0" applyNumberFormat="1" applyFont="1" applyBorder="1" applyAlignment="1">
      <alignment vertical="center"/>
    </xf>
    <xf numFmtId="164" fontId="7" fillId="0" borderId="9" xfId="0" applyNumberFormat="1" applyFont="1" applyBorder="1" applyAlignment="1">
      <alignment vertical="center"/>
    </xf>
    <xf numFmtId="2" fontId="5" fillId="0" borderId="9" xfId="0" applyNumberFormat="1" applyFont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2" fontId="5" fillId="9" borderId="9" xfId="0" applyNumberFormat="1" applyFont="1" applyFill="1" applyBorder="1" applyAlignment="1">
      <alignment horizontal="center"/>
    </xf>
    <xf numFmtId="0" fontId="5" fillId="9" borderId="9" xfId="0" applyFont="1" applyFill="1" applyBorder="1" applyAlignment="1">
      <alignment horizontal="left"/>
    </xf>
    <xf numFmtId="0" fontId="5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horizontal="center"/>
    </xf>
    <xf numFmtId="0" fontId="2" fillId="0" borderId="9" xfId="0" applyFont="1" applyBorder="1"/>
    <xf numFmtId="0" fontId="0" fillId="0" borderId="0" xfId="0"/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0" fillId="0" borderId="9" xfId="0" applyBorder="1"/>
    <xf numFmtId="164" fontId="7" fillId="0" borderId="9" xfId="0" applyNumberFormat="1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7" fillId="8" borderId="9" xfId="0" applyFont="1" applyFill="1" applyBorder="1" applyAlignment="1">
      <alignment horizontal="center" vertical="center"/>
    </xf>
    <xf numFmtId="0" fontId="2" fillId="9" borderId="9" xfId="0" applyFont="1" applyFill="1" applyBorder="1"/>
    <xf numFmtId="2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9" fillId="6" borderId="7" xfId="0" applyFont="1" applyFill="1" applyBorder="1" applyAlignment="1">
      <alignment horizontal="center"/>
    </xf>
    <xf numFmtId="0" fontId="2" fillId="0" borderId="10" xfId="0" applyFont="1" applyBorder="1"/>
    <xf numFmtId="0" fontId="2" fillId="0" borderId="6" xfId="0" applyFont="1" applyBorder="1"/>
    <xf numFmtId="0" fontId="7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461554</xdr:colOff>
      <xdr:row>2</xdr:row>
      <xdr:rowOff>203320</xdr:rowOff>
    </xdr:from>
    <xdr:ext cx="5172075" cy="1847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75526" y="815066"/>
          <a:ext cx="5172075" cy="18478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1006805</xdr:colOff>
      <xdr:row>14</xdr:row>
      <xdr:rowOff>169480</xdr:rowOff>
    </xdr:from>
    <xdr:ext cx="5429250" cy="15811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26073" y="3485790"/>
          <a:ext cx="5429250" cy="158115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213974</xdr:colOff>
      <xdr:row>2</xdr:row>
      <xdr:rowOff>6078</xdr:rowOff>
    </xdr:from>
    <xdr:ext cx="4314825" cy="207645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296171" y="617824"/>
          <a:ext cx="4314825" cy="20764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286123</xdr:colOff>
      <xdr:row>16</xdr:row>
      <xdr:rowOff>160523</xdr:rowOff>
    </xdr:from>
    <xdr:ext cx="5143500" cy="7429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273616" y="3927593"/>
          <a:ext cx="5143500" cy="7429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695325</xdr:colOff>
      <xdr:row>31</xdr:row>
      <xdr:rowOff>0</xdr:rowOff>
    </xdr:from>
    <xdr:ext cx="38100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3750945" y="6751320"/>
          <a:ext cx="38100" cy="180975"/>
          <a:chOff x="5346000" y="3689513"/>
          <a:chExt cx="0" cy="18097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CxnSpPr/>
        </xdr:nvCxnSpPr>
        <xdr:spPr>
          <a:xfrm>
            <a:off x="5346000" y="3689513"/>
            <a:ext cx="0" cy="180975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723900</xdr:colOff>
      <xdr:row>31</xdr:row>
      <xdr:rowOff>0</xdr:rowOff>
    </xdr:from>
    <xdr:ext cx="38100" cy="18097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/>
      </xdr:nvGrpSpPr>
      <xdr:grpSpPr>
        <a:xfrm>
          <a:off x="5219700" y="6751320"/>
          <a:ext cx="38100" cy="180975"/>
          <a:chOff x="5346000" y="3689513"/>
          <a:chExt cx="0" cy="180975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CxnSpPr/>
        </xdr:nvCxnSpPr>
        <xdr:spPr>
          <a:xfrm>
            <a:off x="5346000" y="3689513"/>
            <a:ext cx="0" cy="180975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857250</xdr:colOff>
      <xdr:row>30</xdr:row>
      <xdr:rowOff>190500</xdr:rowOff>
    </xdr:from>
    <xdr:ext cx="38100" cy="17145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pSpPr/>
      </xdr:nvGrpSpPr>
      <xdr:grpSpPr>
        <a:xfrm>
          <a:off x="6823710" y="6751320"/>
          <a:ext cx="38100" cy="171450"/>
          <a:chOff x="5346000" y="3694275"/>
          <a:chExt cx="0" cy="171450"/>
        </a:xfrm>
      </xdr:grpSpPr>
      <xdr:cxnSp macro="">
        <xdr:nvCxnSpPr>
          <xdr:cNvPr id="7" name="Shape 4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CxnSpPr/>
        </xdr:nvCxnSpPr>
        <xdr:spPr>
          <a:xfrm>
            <a:off x="5346000" y="3694275"/>
            <a:ext cx="0" cy="17145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647700</xdr:colOff>
      <xdr:row>31</xdr:row>
      <xdr:rowOff>0</xdr:rowOff>
    </xdr:from>
    <xdr:ext cx="38100" cy="1809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8366760" y="6751320"/>
          <a:ext cx="38100" cy="180975"/>
          <a:chOff x="5346000" y="3689513"/>
          <a:chExt cx="0" cy="180975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CxnSpPr/>
        </xdr:nvCxnSpPr>
        <xdr:spPr>
          <a:xfrm>
            <a:off x="5346000" y="3689513"/>
            <a:ext cx="0" cy="180975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447675</xdr:colOff>
      <xdr:row>31</xdr:row>
      <xdr:rowOff>0</xdr:rowOff>
    </xdr:from>
    <xdr:ext cx="38100" cy="1809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pSpPr/>
      </xdr:nvGrpSpPr>
      <xdr:grpSpPr>
        <a:xfrm>
          <a:off x="9492615" y="6751320"/>
          <a:ext cx="38100" cy="180975"/>
          <a:chOff x="5346000" y="3689513"/>
          <a:chExt cx="0" cy="180975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CxnSpPr/>
        </xdr:nvCxnSpPr>
        <xdr:spPr>
          <a:xfrm>
            <a:off x="5346000" y="3689513"/>
            <a:ext cx="0" cy="180975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"/>
  <sheetViews>
    <sheetView showGridLines="0" tabSelected="1" zoomScale="88" workbookViewId="0">
      <selection activeCell="C6" sqref="C6"/>
    </sheetView>
  </sheetViews>
  <sheetFormatPr defaultColWidth="14.44140625" defaultRowHeight="15" customHeight="1"/>
  <cols>
    <col min="1" max="1" width="22.109375" customWidth="1"/>
    <col min="2" max="2" width="22.33203125" customWidth="1"/>
    <col min="3" max="3" width="12" customWidth="1"/>
    <col min="4" max="5" width="25.33203125" customWidth="1"/>
    <col min="6" max="6" width="27.33203125" customWidth="1"/>
    <col min="7" max="7" width="19.88671875" bestFit="1" customWidth="1"/>
    <col min="8" max="16" width="16" customWidth="1"/>
    <col min="17" max="17" width="11.109375" customWidth="1"/>
    <col min="18" max="18" width="10.109375" customWidth="1"/>
    <col min="19" max="19" width="19" customWidth="1"/>
    <col min="20" max="20" width="14.6640625" customWidth="1"/>
    <col min="21" max="21" width="18.6640625" customWidth="1"/>
    <col min="22" max="22" width="28.44140625" customWidth="1"/>
    <col min="23" max="23" width="21.33203125" customWidth="1"/>
    <col min="24" max="24" width="30.109375" customWidth="1"/>
    <col min="25" max="25" width="37.88671875" customWidth="1"/>
    <col min="26" max="26" width="30.6640625" customWidth="1"/>
    <col min="27" max="27" width="12.33203125" customWidth="1"/>
    <col min="28" max="29" width="10.33203125" customWidth="1"/>
    <col min="30" max="30" width="22.109375" customWidth="1"/>
    <col min="31" max="31" width="22.5546875" customWidth="1"/>
    <col min="32" max="32" width="22.109375" customWidth="1"/>
    <col min="33" max="33" width="20.6640625" customWidth="1"/>
    <col min="34" max="34" width="34" customWidth="1"/>
    <col min="35" max="35" width="8.88671875" customWidth="1"/>
    <col min="36" max="36" width="11.33203125" customWidth="1"/>
    <col min="37" max="37" width="9.5546875" customWidth="1"/>
    <col min="38" max="38" width="17.6640625" customWidth="1"/>
    <col min="39" max="39" width="15.88671875" customWidth="1"/>
    <col min="40" max="40" width="22.109375" customWidth="1"/>
    <col min="41" max="41" width="21.88671875" customWidth="1"/>
    <col min="42" max="42" width="32.33203125" customWidth="1"/>
  </cols>
  <sheetData>
    <row r="1" spans="1:42" ht="30" customHeight="1">
      <c r="A1" s="99" t="s">
        <v>0</v>
      </c>
      <c r="B1" s="100"/>
      <c r="C1" s="100"/>
      <c r="D1" s="100"/>
      <c r="E1" s="100"/>
      <c r="F1" s="100"/>
      <c r="G1" s="101"/>
      <c r="H1" s="1"/>
      <c r="I1" s="1"/>
      <c r="J1" s="2"/>
      <c r="K1" s="3"/>
      <c r="L1" s="3"/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8" customHeight="1">
      <c r="A2" s="1"/>
      <c r="B2" s="1"/>
      <c r="C2" s="1"/>
      <c r="D2" s="1"/>
      <c r="E2" s="1"/>
      <c r="F2" s="1"/>
      <c r="G2" s="1"/>
      <c r="H2" s="1"/>
      <c r="I2" s="1"/>
      <c r="J2" s="5"/>
      <c r="K2" s="5"/>
      <c r="L2" s="5"/>
      <c r="M2" s="1"/>
      <c r="N2" s="1"/>
      <c r="O2" s="1"/>
      <c r="P2" s="1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ht="18" customHeight="1">
      <c r="A3" s="1"/>
      <c r="B3" s="6" t="s">
        <v>2</v>
      </c>
      <c r="C3" s="7" t="s">
        <v>3</v>
      </c>
      <c r="D3" s="8"/>
      <c r="E3" s="1"/>
      <c r="F3" s="1"/>
      <c r="G3" s="1"/>
      <c r="H3" s="1"/>
      <c r="I3" s="1"/>
      <c r="J3" s="72"/>
      <c r="K3" s="72"/>
      <c r="L3" s="72"/>
      <c r="M3" s="73"/>
      <c r="N3" s="73"/>
      <c r="O3" s="73"/>
      <c r="P3" s="73"/>
      <c r="Q3" s="67"/>
      <c r="R3" s="67"/>
      <c r="S3" s="67"/>
      <c r="T3" s="67"/>
      <c r="U3" s="67"/>
      <c r="V3" s="67"/>
      <c r="W3" s="67"/>
      <c r="X3" s="67"/>
      <c r="Y3" s="67"/>
      <c r="Z3" s="67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ht="18" customHeight="1">
      <c r="A4" s="1"/>
      <c r="B4" s="9" t="s">
        <v>4</v>
      </c>
      <c r="C4" s="7" t="s">
        <v>5</v>
      </c>
      <c r="D4" s="8"/>
      <c r="E4" s="10" t="s">
        <v>6</v>
      </c>
      <c r="F4" s="11" t="str">
        <f>(IF(OR(C5&gt;0,C7&gt;0),"VIGA COM SEÇÃO T","VIGA COM SEÇÃO RETANGULAR"))</f>
        <v>VIGA COM SEÇÃO RETANGULAR</v>
      </c>
      <c r="G4" s="1"/>
      <c r="H4" s="1"/>
      <c r="I4" s="1"/>
      <c r="J4" s="74"/>
      <c r="K4" s="74"/>
      <c r="L4" s="75"/>
      <c r="M4" s="75"/>
      <c r="N4" s="75"/>
      <c r="O4" s="74"/>
      <c r="P4" s="74"/>
      <c r="Q4" s="67"/>
      <c r="R4" s="67"/>
      <c r="S4" s="67"/>
      <c r="T4" s="67"/>
      <c r="U4" s="67"/>
      <c r="V4" s="67"/>
      <c r="W4" s="67"/>
      <c r="X4" s="67"/>
      <c r="Y4" s="67"/>
      <c r="Z4" s="67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ht="18" customHeight="1">
      <c r="A5" s="13"/>
      <c r="B5" s="6" t="s">
        <v>7</v>
      </c>
      <c r="C5" s="14"/>
      <c r="D5" s="8"/>
      <c r="E5" s="15" t="s">
        <v>8</v>
      </c>
      <c r="F5" s="16">
        <f>C12/1.15</f>
        <v>43.478260869565219</v>
      </c>
      <c r="G5" s="13" t="s">
        <v>9</v>
      </c>
      <c r="H5" s="17">
        <f>F9*F10*F8*H9*F13*F11*C6*(F13-((F9/2))*H9*F13)</f>
        <v>26884.285714285717</v>
      </c>
      <c r="I5" s="17"/>
      <c r="J5" s="76"/>
      <c r="K5" s="105"/>
      <c r="L5" s="78"/>
      <c r="M5" s="108"/>
      <c r="N5" s="110"/>
      <c r="O5" s="80"/>
      <c r="P5" s="80"/>
      <c r="Q5" s="68"/>
      <c r="R5" s="68"/>
      <c r="S5" s="68"/>
      <c r="T5" s="68"/>
      <c r="U5" s="68"/>
      <c r="V5" s="68"/>
      <c r="W5" s="68"/>
      <c r="X5" s="68"/>
      <c r="Y5" s="68"/>
      <c r="Z5" s="68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spans="1:42" ht="18" customHeight="1">
      <c r="B6" s="6" t="s">
        <v>10</v>
      </c>
      <c r="C6" s="14">
        <v>20</v>
      </c>
      <c r="D6" s="8"/>
      <c r="E6" s="15" t="s">
        <v>11</v>
      </c>
      <c r="F6" s="17" t="str">
        <f>(IF(D26="ARMADURA DUPLA!",IF(G17="ARMADURA NÃO ESCOA",(21*F17),"NÃO NECESSÁRIO!")))</f>
        <v>NÃO NECESSÁRIO!</v>
      </c>
      <c r="G6" s="13" t="s">
        <v>12</v>
      </c>
      <c r="H6" s="17">
        <f>F12-H5</f>
        <v>11828.714285714283</v>
      </c>
      <c r="I6" s="17"/>
      <c r="J6" s="80"/>
      <c r="K6" s="103"/>
      <c r="L6" s="79"/>
      <c r="M6" s="103"/>
      <c r="N6" s="103"/>
      <c r="O6" s="80"/>
      <c r="P6" s="80"/>
      <c r="Q6" s="81"/>
      <c r="R6" s="81"/>
      <c r="S6" s="81"/>
      <c r="T6" s="82"/>
      <c r="U6" s="69"/>
      <c r="V6" s="69"/>
      <c r="W6" s="69"/>
      <c r="X6" s="69"/>
      <c r="Y6" s="69"/>
      <c r="Z6" s="69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spans="1:42" ht="18" customHeight="1">
      <c r="B7" s="6" t="s">
        <v>13</v>
      </c>
      <c r="C7" s="14"/>
      <c r="D7" s="8"/>
      <c r="E7" s="15" t="s">
        <v>14</v>
      </c>
      <c r="F7" s="21">
        <f>C11/10</f>
        <v>3</v>
      </c>
      <c r="G7" s="13" t="s">
        <v>15</v>
      </c>
      <c r="H7" s="22">
        <f>IF(D11="CONCRETO DO GRUPO I", 0.628,0.35)</f>
        <v>0.628</v>
      </c>
      <c r="I7" s="22"/>
      <c r="J7" s="80"/>
      <c r="K7" s="103"/>
      <c r="L7" s="79"/>
      <c r="M7" s="103"/>
      <c r="N7" s="103"/>
      <c r="O7" s="80"/>
      <c r="P7" s="80"/>
      <c r="Q7" s="81"/>
      <c r="R7" s="81"/>
      <c r="S7" s="81"/>
      <c r="T7" s="83"/>
      <c r="U7" s="83"/>
      <c r="V7" s="114"/>
      <c r="W7" s="69"/>
      <c r="X7" s="69"/>
      <c r="Y7" s="69"/>
      <c r="Z7" s="69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</row>
    <row r="8" spans="1:42" ht="18" customHeight="1">
      <c r="B8" s="6" t="s">
        <v>16</v>
      </c>
      <c r="C8" s="14">
        <v>55</v>
      </c>
      <c r="D8" s="8"/>
      <c r="E8" s="15" t="s">
        <v>17</v>
      </c>
      <c r="F8" s="17">
        <f>(C11/10)/1.4</f>
        <v>2.1428571428571428</v>
      </c>
      <c r="G8" s="23" t="s">
        <v>18</v>
      </c>
      <c r="H8" s="22">
        <v>0.45</v>
      </c>
      <c r="I8" s="22"/>
      <c r="J8" s="80"/>
      <c r="K8" s="103"/>
      <c r="L8" s="79"/>
      <c r="M8" s="103"/>
      <c r="N8" s="103"/>
      <c r="O8" s="80"/>
      <c r="P8" s="76"/>
      <c r="Q8" s="81"/>
      <c r="R8" s="81"/>
      <c r="S8" s="81"/>
      <c r="T8" s="83"/>
      <c r="U8" s="83"/>
      <c r="V8" s="103"/>
      <c r="W8" s="69"/>
      <c r="X8" s="69"/>
      <c r="Y8" s="69"/>
      <c r="Z8" s="69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</row>
    <row r="9" spans="1:42" ht="18" customHeight="1">
      <c r="B9" s="6" t="s">
        <v>19</v>
      </c>
      <c r="C9" s="18">
        <f>387.13/1.4</f>
        <v>276.5214285714286</v>
      </c>
      <c r="D9" s="8"/>
      <c r="E9" s="15" t="s">
        <v>20</v>
      </c>
      <c r="F9" s="17" t="str">
        <f>IF(D11="CONCRETO DO GRUPO I","0,8",IF(D11="CONCRETO DO GRUPO II",0.8-(C11-50)/400,""))</f>
        <v>0,8</v>
      </c>
      <c r="G9" s="13" t="s">
        <v>21</v>
      </c>
      <c r="H9" s="22">
        <f>IF(D11="CONCRETO DO GRUPO I", MIN(H7,H8),IF(D11="CONCRETO DO GRUPO II", MIN(H7,H8), "Escolha inválida"))</f>
        <v>0.45</v>
      </c>
      <c r="I9" s="22"/>
      <c r="J9" s="80"/>
      <c r="K9" s="103"/>
      <c r="L9" s="77"/>
      <c r="M9" s="103"/>
      <c r="N9" s="103"/>
      <c r="O9" s="80"/>
      <c r="P9" s="80"/>
      <c r="Q9" s="81"/>
      <c r="R9" s="81"/>
      <c r="S9" s="81"/>
      <c r="T9" s="105"/>
      <c r="U9" s="105"/>
      <c r="V9" s="80"/>
      <c r="W9" s="80"/>
      <c r="X9" s="80"/>
      <c r="Y9" s="80"/>
      <c r="Z9" s="8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</row>
    <row r="10" spans="1:42" ht="18" customHeight="1">
      <c r="B10" s="6" t="s">
        <v>22</v>
      </c>
      <c r="C10" s="14"/>
      <c r="D10" s="8"/>
      <c r="E10" s="15" t="s">
        <v>23</v>
      </c>
      <c r="F10" s="17" t="str">
        <f>IF(D11="CONCRETO DO GRUPO I","0,85",(IF(D11="CONCRETO DO GRUPO II",(0.85*(1-((C11-50)/200))))))</f>
        <v>0,85</v>
      </c>
      <c r="G10" s="15" t="s">
        <v>24</v>
      </c>
      <c r="H10" s="22">
        <f>IF(D11="CONCRETO DO GRUPO I",F20/(F20+10),F20/(F20+10))</f>
        <v>0.25925925925925924</v>
      </c>
      <c r="I10" s="22"/>
      <c r="J10" s="84"/>
      <c r="K10" s="84"/>
      <c r="L10" s="84"/>
      <c r="M10" s="84"/>
      <c r="N10" s="84"/>
      <c r="O10" s="84"/>
      <c r="P10" s="84"/>
      <c r="Q10" s="81"/>
      <c r="R10" s="81"/>
      <c r="S10" s="81"/>
      <c r="T10" s="103"/>
      <c r="U10" s="103"/>
      <c r="V10" s="80"/>
      <c r="W10" s="80"/>
      <c r="X10" s="80"/>
      <c r="Y10" s="80"/>
      <c r="Z10" s="8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</row>
    <row r="11" spans="1:42" ht="18" customHeight="1">
      <c r="B11" s="6" t="s">
        <v>25</v>
      </c>
      <c r="C11" s="14">
        <v>30</v>
      </c>
      <c r="D11" s="24" t="str">
        <f>IF(C11&lt;=50, "CONCRETO DO GRUPO I", "CONCRETO DO GRUPO II")</f>
        <v>CONCRETO DO GRUPO I</v>
      </c>
      <c r="E11" s="15" t="s">
        <v>26</v>
      </c>
      <c r="F11" s="17" t="str">
        <f>IF(C11&lt;=40,"1",(40/C11)^(1/3))</f>
        <v>1</v>
      </c>
      <c r="G11" s="15" t="s">
        <v>27</v>
      </c>
      <c r="H11" s="22">
        <f>IF(D11="CONCRETO DO GRUPO I",F20/(F20+F19),F20/(F20+F19))</f>
        <v>0.62832187325775879</v>
      </c>
      <c r="I11" s="22"/>
      <c r="J11" s="74"/>
      <c r="K11" s="74"/>
      <c r="L11" s="75"/>
      <c r="M11" s="75"/>
      <c r="N11" s="75"/>
      <c r="O11" s="74"/>
      <c r="P11" s="74"/>
      <c r="Q11" s="81"/>
      <c r="R11" s="81"/>
      <c r="S11" s="81"/>
      <c r="T11" s="105"/>
      <c r="U11" s="105"/>
      <c r="V11" s="80"/>
      <c r="W11" s="80"/>
      <c r="X11" s="80"/>
      <c r="Y11" s="80"/>
      <c r="Z11" s="8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 spans="1:42" ht="18" customHeight="1">
      <c r="B12" s="6" t="s">
        <v>28</v>
      </c>
      <c r="C12" s="14">
        <v>50</v>
      </c>
      <c r="D12" s="8"/>
      <c r="E12" s="15" t="s">
        <v>29</v>
      </c>
      <c r="F12" s="21">
        <f>C9*1.4*100</f>
        <v>38713</v>
      </c>
      <c r="G12" s="8" t="s">
        <v>30</v>
      </c>
      <c r="H12" s="17">
        <f>0.319*C6*F13*F13*F8</f>
        <v>34178.571428571428</v>
      </c>
      <c r="I12" s="17"/>
      <c r="J12" s="76"/>
      <c r="K12" s="105"/>
      <c r="L12" s="78"/>
      <c r="M12" s="78"/>
      <c r="N12" s="79"/>
      <c r="O12" s="80"/>
      <c r="P12" s="80"/>
      <c r="Q12" s="81"/>
      <c r="R12" s="81"/>
      <c r="S12" s="81"/>
      <c r="T12" s="103"/>
      <c r="U12" s="103"/>
      <c r="V12" s="76"/>
      <c r="W12" s="76"/>
      <c r="X12" s="76"/>
      <c r="Y12" s="80"/>
      <c r="Z12" s="76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spans="1:42" ht="18" customHeight="1">
      <c r="B13" s="6" t="s">
        <v>31</v>
      </c>
      <c r="C13" s="14">
        <v>1</v>
      </c>
      <c r="D13" s="8"/>
      <c r="E13" s="15" t="s">
        <v>1</v>
      </c>
      <c r="F13" s="21">
        <f>$C$8-($B$45+$B$46+2)</f>
        <v>50</v>
      </c>
      <c r="H13" s="21">
        <v>0.628</v>
      </c>
      <c r="I13" s="21"/>
      <c r="J13" s="80"/>
      <c r="K13" s="103"/>
      <c r="L13" s="79"/>
      <c r="M13" s="108"/>
      <c r="N13" s="110"/>
      <c r="O13" s="80"/>
      <c r="P13" s="80"/>
      <c r="Q13" s="81"/>
      <c r="R13" s="81"/>
      <c r="S13" s="81"/>
      <c r="T13" s="105"/>
      <c r="U13" s="105"/>
      <c r="V13" s="80"/>
      <c r="W13" s="80"/>
      <c r="X13" s="80"/>
      <c r="Y13" s="80"/>
      <c r="Z13" s="8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spans="1:42" ht="18" customHeight="1">
      <c r="D14" s="8"/>
      <c r="E14" s="15" t="s">
        <v>32</v>
      </c>
      <c r="F14" s="21">
        <f>$B$45+$B$46+1</f>
        <v>4</v>
      </c>
      <c r="G14" s="21" t="s">
        <v>33</v>
      </c>
      <c r="H14" s="22">
        <f>IF(G17="ARMADURA ESCOA",((F36*F5)-(F35*F5))/(F9*F10*F11*C6*F13*F8),((F36*F5)-(F35*F6))/(F9*F10*F11*C6*F13*F8))</f>
        <v>0.45</v>
      </c>
      <c r="I14" s="22"/>
      <c r="J14" s="80"/>
      <c r="K14" s="103"/>
      <c r="L14" s="79"/>
      <c r="M14" s="103"/>
      <c r="N14" s="103"/>
      <c r="O14" s="80"/>
      <c r="P14" s="80"/>
      <c r="Q14" s="81"/>
      <c r="R14" s="81"/>
      <c r="S14" s="81"/>
      <c r="T14" s="103"/>
      <c r="U14" s="103"/>
      <c r="V14" s="80"/>
      <c r="W14" s="80"/>
      <c r="X14" s="80"/>
      <c r="Y14" s="80"/>
      <c r="Z14" s="8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spans="1:42" ht="18" customHeight="1">
      <c r="D15" s="8"/>
      <c r="E15" s="15" t="s">
        <v>34</v>
      </c>
      <c r="F15" s="17" t="b">
        <f>IF(F4="VIGA COM SEÇÃO T",(C5-C6)*C7*F10*F8)</f>
        <v>0</v>
      </c>
      <c r="G15" s="21" t="s">
        <v>35</v>
      </c>
      <c r="H15" s="22">
        <f>IF(G17="ARMADURA ESCOA",((C38*F5)-(F35*F5))/(F9*F10*F11*C6*F13*F8),((C38*F5)-(F35*F6))/(F9*F10*F11*C6*F13*F8))</f>
        <v>0.4500198646905807</v>
      </c>
      <c r="I15" s="22"/>
      <c r="J15" s="80"/>
      <c r="K15" s="103"/>
      <c r="L15" s="79"/>
      <c r="M15" s="103"/>
      <c r="N15" s="103"/>
      <c r="O15" s="80"/>
      <c r="P15" s="80"/>
      <c r="Q15" s="68"/>
      <c r="R15" s="68"/>
      <c r="S15" s="68"/>
      <c r="T15" s="111"/>
      <c r="U15" s="105"/>
      <c r="V15" s="80"/>
      <c r="W15" s="80"/>
      <c r="X15" s="80"/>
      <c r="Y15" s="80"/>
      <c r="Z15" s="8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spans="1:42" ht="18" customHeight="1">
      <c r="D16" s="8"/>
      <c r="E16" s="15" t="s">
        <v>36</v>
      </c>
      <c r="F16" s="17" t="str">
        <f>IF(F4="VIGA COM SEÇÃO T",F15*(F13-(C7/2)),"")</f>
        <v/>
      </c>
      <c r="G16" s="25" t="s">
        <v>37</v>
      </c>
      <c r="H16" s="17">
        <f>IF(G17="ARMADURA ESCOA",((0.628*F9*F10*F11*C6*F13*F8)+(F35*F5))/(F5),((0.628*F9*F10*F11*C6*F13*F8)+(F35*F6))/(F5))</f>
        <v>26.96132857142857</v>
      </c>
      <c r="I16" s="17"/>
      <c r="J16" s="80"/>
      <c r="K16" s="103"/>
      <c r="L16" s="77"/>
      <c r="M16" s="103"/>
      <c r="N16" s="103"/>
      <c r="O16" s="80"/>
      <c r="P16" s="80"/>
      <c r="Q16" s="68"/>
      <c r="R16" s="68"/>
      <c r="S16" s="68"/>
      <c r="T16" s="103"/>
      <c r="U16" s="103"/>
      <c r="V16" s="80"/>
      <c r="W16" s="80"/>
      <c r="X16" s="80"/>
      <c r="Y16" s="80"/>
      <c r="Z16" s="8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 spans="1:42" ht="18" customHeight="1">
      <c r="B17" s="26"/>
      <c r="D17" s="27"/>
      <c r="E17" s="15" t="s">
        <v>38</v>
      </c>
      <c r="F17" s="17">
        <f>IF(D26="ARMADURA DUPLA!",3.5*((H9*F13)-F14)/(H9*F13),"")</f>
        <v>2.8777777777777778</v>
      </c>
      <c r="G17" s="28" t="str">
        <f>IF(F17&gt;=2.07,"ARMADURA ESCOA","ARMADURA NÃO ESCOA")</f>
        <v>ARMADURA ESCOA</v>
      </c>
      <c r="H17" s="28"/>
      <c r="I17" s="28"/>
      <c r="J17" s="86"/>
      <c r="K17" s="86"/>
      <c r="L17" s="86"/>
      <c r="M17" s="86"/>
      <c r="N17" s="86"/>
      <c r="O17" s="86"/>
      <c r="P17" s="86"/>
      <c r="Q17" s="68"/>
      <c r="R17" s="68"/>
      <c r="S17" s="68"/>
      <c r="T17" s="105"/>
      <c r="U17" s="105"/>
      <c r="V17" s="80"/>
      <c r="W17" s="80"/>
      <c r="X17" s="80"/>
      <c r="Y17" s="80"/>
      <c r="Z17" s="8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 spans="1:42" ht="18" customHeight="1">
      <c r="B18" s="26"/>
      <c r="D18" s="8"/>
      <c r="E18" s="15" t="s">
        <v>39</v>
      </c>
      <c r="F18" s="17">
        <f>IF(D26="ARMADURA DUPLA!",3.5*(1-H9)/(H9),3.5*(1-C26)/(C26))</f>
        <v>4.2777777777777786</v>
      </c>
      <c r="J18" s="74"/>
      <c r="K18" s="74"/>
      <c r="L18" s="75"/>
      <c r="M18" s="75"/>
      <c r="N18" s="75"/>
      <c r="O18" s="74"/>
      <c r="P18" s="74"/>
      <c r="Q18" s="68"/>
      <c r="R18" s="68"/>
      <c r="S18" s="68"/>
      <c r="T18" s="103"/>
      <c r="U18" s="103"/>
      <c r="V18" s="80"/>
      <c r="W18" s="80"/>
      <c r="X18" s="80"/>
      <c r="Y18" s="80"/>
      <c r="Z18" s="8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</row>
    <row r="19" spans="1:42" ht="18" customHeight="1">
      <c r="B19" s="26"/>
      <c r="D19" s="8"/>
      <c r="E19" s="15" t="s">
        <v>40</v>
      </c>
      <c r="F19" s="17">
        <f>F5/21</f>
        <v>2.0703933747412009</v>
      </c>
      <c r="J19" s="80"/>
      <c r="K19" s="87"/>
      <c r="L19" s="78"/>
      <c r="M19" s="78"/>
      <c r="N19" s="79"/>
      <c r="O19" s="80"/>
      <c r="P19" s="80"/>
      <c r="Q19" s="68"/>
      <c r="R19" s="68"/>
      <c r="S19" s="68"/>
      <c r="T19" s="105"/>
      <c r="U19" s="105"/>
      <c r="V19" s="80"/>
      <c r="W19" s="80"/>
      <c r="X19" s="80"/>
      <c r="Y19" s="80"/>
      <c r="Z19" s="8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ht="18" customHeight="1">
      <c r="D20" s="8"/>
      <c r="E20" s="15" t="s">
        <v>41</v>
      </c>
      <c r="F20" s="17">
        <f>IF(D11="CONCRETO DO GRUPO I",3.5,2.6+(3.5*((90-C11)/100)^(4)))</f>
        <v>3.5</v>
      </c>
      <c r="J20" s="80"/>
      <c r="K20" s="87"/>
      <c r="L20" s="79"/>
      <c r="M20" s="79"/>
      <c r="N20" s="79"/>
      <c r="O20" s="80"/>
      <c r="P20" s="80"/>
      <c r="Q20" s="68"/>
      <c r="R20" s="68"/>
      <c r="S20" s="68"/>
      <c r="T20" s="103"/>
      <c r="U20" s="103"/>
      <c r="V20" s="80"/>
      <c r="W20" s="80"/>
      <c r="X20" s="80"/>
      <c r="Y20" s="80"/>
      <c r="Z20" s="8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spans="1:42" ht="18" customHeight="1">
      <c r="D21" s="8"/>
      <c r="E21" s="15" t="s">
        <v>42</v>
      </c>
      <c r="F21" s="22">
        <f>F18/F19</f>
        <v>2.0661666666666672</v>
      </c>
      <c r="G21" s="8"/>
      <c r="H21" s="8"/>
      <c r="I21" s="8"/>
      <c r="J21" s="80"/>
      <c r="K21" s="87"/>
      <c r="L21" s="78"/>
      <c r="M21" s="88"/>
      <c r="N21" s="89"/>
      <c r="O21" s="80"/>
      <c r="P21" s="80"/>
      <c r="Q21" s="68"/>
      <c r="R21" s="68"/>
      <c r="S21" s="68"/>
      <c r="T21" s="90"/>
      <c r="U21" s="69"/>
      <c r="V21" s="69"/>
      <c r="W21" s="69"/>
      <c r="X21" s="69"/>
      <c r="Y21" s="69"/>
      <c r="Z21" s="69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 spans="1:42" ht="30" customHeight="1">
      <c r="A22" s="113" t="s">
        <v>43</v>
      </c>
      <c r="B22" s="100"/>
      <c r="C22" s="100"/>
      <c r="D22" s="100"/>
      <c r="E22" s="100"/>
      <c r="F22" s="100"/>
      <c r="G22" s="101"/>
      <c r="H22" s="1"/>
      <c r="I22" s="1"/>
      <c r="J22" s="80"/>
      <c r="K22" s="87"/>
      <c r="L22" s="79"/>
      <c r="M22" s="88"/>
      <c r="N22" s="89"/>
      <c r="O22" s="80"/>
      <c r="P22" s="80"/>
      <c r="Q22" s="71"/>
      <c r="R22" s="71"/>
      <c r="S22" s="71"/>
      <c r="T22" s="71"/>
      <c r="U22" s="71"/>
      <c r="V22" s="71"/>
      <c r="W22" s="71"/>
      <c r="X22" s="71"/>
      <c r="Y22" s="71"/>
      <c r="Z22" s="70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</row>
    <row r="23" spans="1:42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74"/>
      <c r="K23" s="74"/>
      <c r="L23" s="75"/>
      <c r="M23" s="75"/>
      <c r="N23" s="75"/>
      <c r="O23" s="74"/>
      <c r="P23" s="74"/>
      <c r="Q23" s="94"/>
      <c r="R23" s="94"/>
      <c r="S23" s="94"/>
      <c r="T23" s="94"/>
      <c r="U23" s="94"/>
      <c r="V23" s="94"/>
      <c r="W23" s="94"/>
      <c r="X23" s="94"/>
      <c r="Y23" s="91"/>
      <c r="Z23" s="71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</row>
    <row r="24" spans="1:42" ht="14.25" customHeight="1">
      <c r="B24" s="15" t="s">
        <v>44</v>
      </c>
      <c r="C24" s="22">
        <f>IF(F4="VIGA COM SEÇÃO RETANGULAR",
F12/(F9*F10*F11*F13*F13*F8*C6),
IF(AND(F4="VIGA COM SEÇÃO T",D24="ARMADURA SIMPLES!",D25="Linha neutra está na alma!"),
(F12-F16)/(F11*F10*F9*F8*F13*F13*C6),
F12/(F9*F10*F11*F13*F13*F8*C5)))</f>
        <v>0.53135490196078428</v>
      </c>
      <c r="D24" s="34"/>
      <c r="E24" s="15" t="s">
        <v>45</v>
      </c>
      <c r="F24" s="21" t="str">
        <f>IF(C8&gt;60,0.001*C6*C8,"NÃO HÁ NECESSIDADE")</f>
        <v>NÃO HÁ NECESSIDADE</v>
      </c>
      <c r="J24" s="80"/>
      <c r="K24" s="105"/>
      <c r="L24" s="78"/>
      <c r="M24" s="78"/>
      <c r="N24" s="79"/>
      <c r="O24" s="80"/>
      <c r="P24" s="80"/>
      <c r="Q24" s="95"/>
      <c r="R24" s="95"/>
      <c r="S24" s="95"/>
      <c r="T24" s="96"/>
      <c r="U24" s="96"/>
      <c r="V24" s="96"/>
      <c r="W24" s="96"/>
      <c r="X24" s="96"/>
      <c r="Y24" s="92"/>
      <c r="Z24" s="69"/>
      <c r="AA24" s="20"/>
      <c r="AB24" s="8"/>
      <c r="AC24" s="8"/>
      <c r="AD24" s="102"/>
      <c r="AE24" s="20"/>
      <c r="AF24" s="20"/>
      <c r="AG24" s="20"/>
      <c r="AH24" s="20"/>
      <c r="AI24" s="20"/>
      <c r="AJ24" s="8"/>
      <c r="AK24" s="8"/>
      <c r="AL24" s="102"/>
      <c r="AM24" s="20"/>
      <c r="AN24" s="20"/>
      <c r="AO24" s="20"/>
      <c r="AP24" s="20"/>
    </row>
    <row r="25" spans="1:42" ht="14.25" customHeight="1">
      <c r="A25" s="37"/>
      <c r="B25" s="15" t="s">
        <v>46</v>
      </c>
      <c r="C25" s="22">
        <f>(1.5625-(2.5*C24))</f>
        <v>0.23411274509803937</v>
      </c>
      <c r="D25" s="34"/>
      <c r="E25" s="15" t="s">
        <v>47</v>
      </c>
      <c r="F25" s="21">
        <f>IF(C12=20,0.0015*C7*C9,
IF(C12=25,0.0015*C7*C9,
IF(C12=30,0.0015*C7*C9,
IF(C12=35,0.00164*C7*C9,IF(C12=40,0.00179*C7*C9,IF(C12=45,0.00194*C7*C9,IF(C12=50,0.00208*C7*C9,IF(C12=55,0.00211*C7*C9,IF(C12=60,0.00219*C7*C9,IF(C12=65,0.00226*C7*C9,IF(C12=70,0.00233*C7*C9,IF(C12=75,0.00239*C7*C9,IF(C12=80,0.00245*C7*C9,IF(C12=85,0.00251*C7*C9,IF(C12=90,0.00256*C7*C9)))))))))))))))</f>
        <v>0</v>
      </c>
      <c r="G25" s="26" t="str">
        <f>IF(F25&gt;C34,"ADOTAR As,mín","Adotar Ascalculado")</f>
        <v>Adotar Ascalculado</v>
      </c>
      <c r="J25" s="80"/>
      <c r="K25" s="109"/>
      <c r="L25" s="79"/>
      <c r="M25" s="79"/>
      <c r="N25" s="79"/>
      <c r="O25" s="80"/>
      <c r="P25" s="80"/>
      <c r="Q25" s="95"/>
      <c r="R25" s="95"/>
      <c r="S25" s="95"/>
      <c r="T25" s="96"/>
      <c r="U25" s="96"/>
      <c r="V25" s="96"/>
      <c r="W25" s="96"/>
      <c r="X25" s="96"/>
      <c r="Y25" s="92"/>
      <c r="Z25" s="69"/>
      <c r="AA25" s="20"/>
      <c r="AB25" s="83"/>
      <c r="AC25" s="83"/>
      <c r="AD25" s="103"/>
      <c r="AE25" s="69"/>
      <c r="AF25" s="69"/>
      <c r="AG25" s="69"/>
      <c r="AH25" s="69"/>
      <c r="AI25" s="20"/>
      <c r="AJ25" s="8"/>
      <c r="AK25" s="8"/>
      <c r="AL25" s="104"/>
      <c r="AM25" s="20"/>
      <c r="AN25" s="20"/>
      <c r="AO25" s="20"/>
      <c r="AP25" s="20"/>
    </row>
    <row r="26" spans="1:42" ht="14.25" customHeight="1">
      <c r="B26" s="15" t="s">
        <v>48</v>
      </c>
      <c r="C26" s="22">
        <f>1.25-(SQRT(1.5625-(2.5*C24)))</f>
        <v>0.76614801323334492</v>
      </c>
      <c r="D26" s="38" t="str">
        <f>IFERROR(IF(D11="CONCRETO DO GRUPO I",IF(C26&lt;=0.45,"ARMADURA SIMPLES!","ARMADURA DUPLA!"),IF(D11="CONCRETO DO GRUPO II",IF(C26&lt;=0.35,"ARMADURA SIMPLES!","ARMADURA DUPLA!"))),"ARMADURA DUPLA!")</f>
        <v>ARMADURA DUPLA!</v>
      </c>
      <c r="E26" s="15" t="s">
        <v>49</v>
      </c>
      <c r="F26" s="17">
        <f>IF(D26="ARMADURA SIMPLES!",C34,IF(D26="ARMADURA DUPLA!",F36+F35,""))</f>
        <v>26.910142857142855</v>
      </c>
      <c r="G26" s="39" t="str">
        <f>IF(F4="VIGA COM SEÇÃO RETANGULAR",
IF(F26&lt;=0.04*C6*C8,"OK","EXCEDE 4% DA SEÇÃO DE CONCRETO"),
IF(F4="VIGA COM SEÇÃO T",
IF(F26&lt;=(0.04*C6*C8)+(C5-C6)*C7,"OK","EXCEDE 4% DA SEÇÃO DE CONCRETO"),
""))</f>
        <v>OK</v>
      </c>
      <c r="H26" s="39"/>
      <c r="I26" s="39"/>
      <c r="J26" s="80"/>
      <c r="K26" s="109"/>
      <c r="L26" s="78"/>
      <c r="M26" s="108"/>
      <c r="N26" s="110"/>
      <c r="O26" s="80"/>
      <c r="P26" s="80"/>
      <c r="Q26" s="95"/>
      <c r="R26" s="95"/>
      <c r="S26" s="95"/>
      <c r="T26" s="96"/>
      <c r="U26" s="96"/>
      <c r="V26" s="96"/>
      <c r="W26" s="96"/>
      <c r="X26" s="96"/>
      <c r="Y26" s="92"/>
      <c r="Z26" s="69"/>
      <c r="AA26" s="20"/>
      <c r="AB26" s="105"/>
      <c r="AC26" s="105"/>
      <c r="AD26" s="80"/>
      <c r="AE26" s="80"/>
      <c r="AF26" s="80"/>
      <c r="AG26" s="80"/>
      <c r="AH26" s="80"/>
      <c r="AI26" s="20"/>
      <c r="AJ26" s="106"/>
      <c r="AK26" s="106"/>
      <c r="AL26" s="21"/>
      <c r="AM26" s="21"/>
      <c r="AN26" s="21"/>
      <c r="AO26" s="21"/>
      <c r="AP26" s="21"/>
    </row>
    <row r="27" spans="1:42" ht="14.25" customHeight="1">
      <c r="B27" s="15" t="s">
        <v>50</v>
      </c>
      <c r="C27" s="17">
        <f>IF(D11="CONCRETO DO GRUPO I",IF(F4="VIGA COM SEÇÃO T",F9*C28,F9*C28))</f>
        <v>30.645920529333797</v>
      </c>
      <c r="D27" s="40" t="str">
        <f>IFERROR(IF(F4="VIGA COM SEÇÃO T",IF(C27&lt;=C7,"Linha neutra está na mesa!","Linha neutra está na alma!"),""),"Linha neutra está na alma!")</f>
        <v/>
      </c>
      <c r="E27" s="15" t="s">
        <v>51</v>
      </c>
      <c r="F27" s="17" t="str">
        <f>IF(F4="VIGA COM SEÇÃO T",1.5,"Apenas para seção T")</f>
        <v>Apenas para seção T</v>
      </c>
      <c r="G27" s="41"/>
      <c r="H27" s="41"/>
      <c r="I27" s="41"/>
      <c r="J27" s="80"/>
      <c r="K27" s="109"/>
      <c r="L27" s="79"/>
      <c r="M27" s="109"/>
      <c r="N27" s="109"/>
      <c r="O27" s="80"/>
      <c r="P27" s="80"/>
      <c r="Q27" s="95"/>
      <c r="R27" s="95"/>
      <c r="S27" s="95"/>
      <c r="T27" s="96"/>
      <c r="U27" s="96"/>
      <c r="V27" s="96"/>
      <c r="W27" s="96"/>
      <c r="X27" s="96"/>
      <c r="Y27" s="92"/>
      <c r="Z27" s="69"/>
      <c r="AA27" s="20"/>
      <c r="AB27" s="103"/>
      <c r="AC27" s="103"/>
      <c r="AD27" s="80"/>
      <c r="AE27" s="80"/>
      <c r="AF27" s="80"/>
      <c r="AG27" s="80"/>
      <c r="AH27" s="80"/>
      <c r="AI27" s="20"/>
      <c r="AJ27" s="104"/>
      <c r="AK27" s="104"/>
      <c r="AL27" s="21"/>
      <c r="AM27" s="21"/>
      <c r="AN27" s="21"/>
      <c r="AO27" s="21"/>
      <c r="AP27" s="21"/>
    </row>
    <row r="28" spans="1:42" ht="14.25" customHeight="1">
      <c r="B28" s="15" t="s">
        <v>52</v>
      </c>
      <c r="C28" s="17">
        <f>C26*F13</f>
        <v>38.307400661667245</v>
      </c>
      <c r="D28" s="42" t="str">
        <f>IF(C26 &gt; H11, "Domínio 4", IF(C26 &lt; H10, "Domínio 2", "Domínio 3"))</f>
        <v>Domínio 4</v>
      </c>
      <c r="F28" s="21"/>
      <c r="G28" s="27"/>
      <c r="H28" s="27"/>
      <c r="I28" s="27"/>
      <c r="J28" s="80"/>
      <c r="K28" s="109"/>
      <c r="L28" s="77"/>
      <c r="M28" s="109"/>
      <c r="N28" s="109"/>
      <c r="O28" s="80"/>
      <c r="P28" s="80"/>
      <c r="Q28" s="95"/>
      <c r="R28" s="95"/>
      <c r="S28" s="95"/>
      <c r="T28" s="96"/>
      <c r="U28" s="96"/>
      <c r="V28" s="96"/>
      <c r="W28" s="96"/>
      <c r="X28" s="96"/>
      <c r="Y28" s="92"/>
      <c r="Z28" s="69"/>
      <c r="AA28" s="20"/>
      <c r="AB28" s="105"/>
      <c r="AC28" s="105"/>
      <c r="AD28" s="80"/>
      <c r="AE28" s="80"/>
      <c r="AF28" s="80"/>
      <c r="AG28" s="80"/>
      <c r="AH28" s="80"/>
      <c r="AI28" s="20"/>
      <c r="AJ28" s="106"/>
      <c r="AK28" s="106"/>
      <c r="AL28" s="21"/>
      <c r="AM28" s="21"/>
      <c r="AN28" s="21"/>
      <c r="AO28" s="21"/>
      <c r="AP28" s="21"/>
    </row>
    <row r="29" spans="1:42" ht="14.25" customHeight="1">
      <c r="B29" s="15"/>
      <c r="C29" s="27"/>
      <c r="D29" s="27"/>
      <c r="F29" s="21"/>
      <c r="G29" s="27"/>
      <c r="H29" s="27"/>
      <c r="I29" s="27"/>
      <c r="J29" s="90"/>
      <c r="K29" s="90"/>
      <c r="L29" s="90"/>
      <c r="M29" s="90"/>
      <c r="N29" s="90"/>
      <c r="O29" s="90"/>
      <c r="P29" s="90"/>
      <c r="Q29" s="95"/>
      <c r="R29" s="95"/>
      <c r="S29" s="95"/>
      <c r="T29" s="96"/>
      <c r="U29" s="96"/>
      <c r="V29" s="96"/>
      <c r="W29" s="96"/>
      <c r="X29" s="96"/>
      <c r="Y29" s="92"/>
      <c r="Z29" s="69"/>
      <c r="AA29" s="20"/>
      <c r="AB29" s="103"/>
      <c r="AC29" s="103"/>
      <c r="AD29" s="76"/>
      <c r="AE29" s="76"/>
      <c r="AF29" s="76"/>
      <c r="AG29" s="80"/>
      <c r="AH29" s="76"/>
      <c r="AI29" s="20"/>
      <c r="AJ29" s="104"/>
      <c r="AK29" s="104"/>
      <c r="AL29" s="17"/>
      <c r="AM29" s="17"/>
      <c r="AN29" s="17"/>
      <c r="AO29" s="21"/>
      <c r="AP29" s="17"/>
    </row>
    <row r="30" spans="1:42" ht="14.25" customHeight="1">
      <c r="B30" s="15"/>
      <c r="D30" s="27"/>
      <c r="F30" s="21"/>
      <c r="G30" s="27"/>
      <c r="H30" s="27"/>
      <c r="I30" s="27"/>
      <c r="J30" s="90"/>
      <c r="K30" s="90"/>
      <c r="L30" s="90"/>
      <c r="M30" s="90"/>
      <c r="N30" s="90"/>
      <c r="O30" s="90"/>
      <c r="P30" s="90"/>
      <c r="Q30" s="95"/>
      <c r="R30" s="95"/>
      <c r="S30" s="95"/>
      <c r="T30" s="96"/>
      <c r="U30" s="96"/>
      <c r="V30" s="96"/>
      <c r="W30" s="96"/>
      <c r="X30" s="96"/>
      <c r="Y30" s="92"/>
      <c r="Z30" s="69"/>
      <c r="AA30" s="20"/>
      <c r="AB30" s="105"/>
      <c r="AC30" s="105"/>
      <c r="AD30" s="80"/>
      <c r="AE30" s="80"/>
      <c r="AF30" s="80"/>
      <c r="AG30" s="80"/>
      <c r="AH30" s="80"/>
      <c r="AI30" s="20"/>
      <c r="AJ30" s="106"/>
      <c r="AK30" s="106"/>
      <c r="AL30" s="21"/>
      <c r="AM30" s="21"/>
      <c r="AN30" s="21"/>
      <c r="AO30" s="21"/>
      <c r="AP30" s="21"/>
    </row>
    <row r="31" spans="1:42" ht="14.25" customHeight="1">
      <c r="B31" s="15"/>
      <c r="C31" s="27"/>
      <c r="D31" s="27"/>
      <c r="F31" s="21"/>
      <c r="G31" s="27"/>
      <c r="H31" s="27"/>
      <c r="I31" s="27"/>
      <c r="J31" s="90"/>
      <c r="K31" s="90"/>
      <c r="L31" s="90"/>
      <c r="M31" s="90"/>
      <c r="N31" s="90"/>
      <c r="O31" s="90"/>
      <c r="P31" s="90"/>
      <c r="Q31" s="97"/>
      <c r="R31" s="97"/>
      <c r="S31" s="97"/>
      <c r="T31" s="96"/>
      <c r="U31" s="96"/>
      <c r="V31" s="96"/>
      <c r="W31" s="96"/>
      <c r="X31" s="96"/>
      <c r="Y31" s="92"/>
      <c r="Z31" s="69"/>
      <c r="AA31" s="20"/>
      <c r="AB31" s="103"/>
      <c r="AC31" s="103"/>
      <c r="AD31" s="80"/>
      <c r="AE31" s="80"/>
      <c r="AF31" s="80"/>
      <c r="AG31" s="80"/>
      <c r="AH31" s="80"/>
      <c r="AI31" s="20"/>
      <c r="AJ31" s="104"/>
      <c r="AK31" s="104"/>
      <c r="AL31" s="21"/>
      <c r="AM31" s="21"/>
      <c r="AN31" s="21"/>
      <c r="AO31" s="21"/>
      <c r="AP31" s="21"/>
    </row>
    <row r="32" spans="1:42" ht="14.25" customHeight="1">
      <c r="B32" s="15"/>
      <c r="C32" s="27"/>
      <c r="D32" s="27"/>
      <c r="F32" s="21"/>
      <c r="G32" s="27"/>
      <c r="H32" s="27"/>
      <c r="I32" s="27"/>
      <c r="J32" s="90"/>
      <c r="K32" s="90"/>
      <c r="L32" s="90"/>
      <c r="M32" s="90"/>
      <c r="N32" s="90"/>
      <c r="O32" s="90"/>
      <c r="P32" s="90"/>
      <c r="Q32" s="94"/>
      <c r="R32" s="94"/>
      <c r="S32" s="94"/>
      <c r="T32" s="94"/>
      <c r="U32" s="94"/>
      <c r="V32" s="94"/>
      <c r="W32" s="94"/>
      <c r="X32" s="94"/>
      <c r="Y32" s="92"/>
      <c r="Z32" s="69"/>
      <c r="AA32" s="20"/>
      <c r="AB32" s="115"/>
      <c r="AC32" s="105"/>
      <c r="AD32" s="80"/>
      <c r="AE32" s="80"/>
      <c r="AF32" s="80"/>
      <c r="AG32" s="80"/>
      <c r="AH32" s="80"/>
      <c r="AI32" s="20"/>
      <c r="AJ32" s="107"/>
      <c r="AK32" s="106"/>
      <c r="AL32" s="21"/>
      <c r="AM32" s="21"/>
      <c r="AN32" s="21"/>
      <c r="AO32" s="21"/>
      <c r="AP32" s="21"/>
    </row>
    <row r="33" spans="1:42" ht="14.25" customHeight="1">
      <c r="D33" s="43"/>
      <c r="F33" s="21"/>
      <c r="G33" s="8"/>
      <c r="H33" s="8"/>
      <c r="I33" s="8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90"/>
      <c r="U33" s="90"/>
      <c r="V33" s="90"/>
      <c r="W33" s="90"/>
      <c r="X33" s="90"/>
      <c r="Y33" s="92"/>
      <c r="Z33" s="69"/>
      <c r="AA33" s="20"/>
      <c r="AB33" s="116"/>
      <c r="AC33" s="103"/>
      <c r="AD33" s="80"/>
      <c r="AE33" s="80"/>
      <c r="AF33" s="80"/>
      <c r="AG33" s="80"/>
      <c r="AH33" s="80"/>
      <c r="AI33" s="20"/>
      <c r="AJ33" s="103"/>
      <c r="AK33" s="104"/>
      <c r="AL33" s="21"/>
      <c r="AM33" s="21"/>
      <c r="AN33" s="21"/>
      <c r="AO33" s="21"/>
      <c r="AP33" s="21"/>
    </row>
    <row r="34" spans="1:42" ht="14.25" customHeight="1">
      <c r="A34" s="34"/>
      <c r="B34" s="15" t="s">
        <v>53</v>
      </c>
      <c r="C34" s="17">
        <f>IF(OR(F4="VIGA COM SEÇÃO RETANGULAR",AND(F4="VIGA COM SEÇÃO T",D27="Linha neutra está na mesa!")),
F12/(F5*(F13-((F9/2)*C28))),
IF(AND(F4="VIGA COM SEÇÃO T",D26="ARMADURA SIMPLES!",D27="Linha neutra está na alma!"),
C35+C36,
"")
)</f>
        <v>25.676903414934674</v>
      </c>
      <c r="D34" s="27"/>
      <c r="E34" s="15" t="s">
        <v>54</v>
      </c>
      <c r="F34" s="17">
        <f>IF(AND(F4="VIGA COM SEÇÃO RETANGULAR",D26="ARMADURA DUPLA!"),
    H5/(F5*(F13-((F9/2)*H9*F13))),
    IF(AND(F4="VIGA COM SEÇÃO T",D26="ARMADURA DUPLA!",D27="Linha neutra está na alma!"),
        ((F9*F10*F11*C6*F13*H9*F8)+(F35*F5))/F5,
        ""
    )
)</f>
        <v>15.081428571428573</v>
      </c>
      <c r="G34" s="27"/>
      <c r="H34" s="27"/>
      <c r="I34" s="27"/>
      <c r="J34" s="90"/>
      <c r="K34" s="90"/>
      <c r="L34" s="90"/>
      <c r="M34" s="90"/>
      <c r="N34" s="90"/>
      <c r="O34" s="90"/>
      <c r="P34" s="90"/>
      <c r="Q34" s="83"/>
      <c r="R34" s="83"/>
      <c r="S34" s="83"/>
      <c r="T34" s="90"/>
      <c r="U34" s="90"/>
      <c r="V34" s="90"/>
      <c r="W34" s="90"/>
      <c r="X34" s="90"/>
      <c r="Y34" s="92"/>
      <c r="Z34" s="69"/>
      <c r="AA34" s="20"/>
      <c r="AB34" s="105"/>
      <c r="AC34" s="105"/>
      <c r="AD34" s="80"/>
      <c r="AE34" s="80"/>
      <c r="AF34" s="80"/>
      <c r="AG34" s="80"/>
      <c r="AH34" s="80"/>
      <c r="AI34" s="20"/>
      <c r="AJ34" s="106"/>
      <c r="AK34" s="106"/>
      <c r="AL34" s="21"/>
      <c r="AM34" s="21"/>
      <c r="AN34" s="21"/>
      <c r="AO34" s="21"/>
      <c r="AP34" s="21"/>
    </row>
    <row r="35" spans="1:42" ht="14.25" customHeight="1">
      <c r="A35" s="8"/>
      <c r="B35" s="44" t="s">
        <v>55</v>
      </c>
      <c r="C35" s="17" t="b">
        <f>IF(F4="VIGA COM SEÇÃO T",IF(D26="ARMADURA SIMPLES!",IF(D27="Linha neutra está na alma!",F15/F5,"")))</f>
        <v>0</v>
      </c>
      <c r="D35" s="27"/>
      <c r="E35" s="15" t="s">
        <v>56</v>
      </c>
      <c r="F35" s="17">
        <f>IF(D26="ARMADURA DUPLA!",
   IF(AND(F4="VIGA COM SEÇÃO T", D27="Linha neutra está na alma!"),
      IF(G17="ARMADURA ESCOA",
         ((F12-F16)-(F11*F10*F9*C6*F13*F13*H8*F8*((1-(F9/2))*H9)))/(F5*(F13-F14)),
         ((F12-F16)-(F11*F10*F9*C6*F13*F13*H8*F8*((1-(F9/2))*H9)))/(F6*(F13-F14))
      ),
      IF(G17="ARMADURA ESCOA",
         H6/(F5*(F13-F14)),
         H6/(F6*(F13-F14))
      )
   ),
   ""
)</f>
        <v>5.9143571428571411</v>
      </c>
      <c r="G35" s="8" t="s">
        <v>57</v>
      </c>
      <c r="H35" s="27">
        <f>H6/(F5*(F13-F14))</f>
        <v>5.9143571428571411</v>
      </c>
      <c r="J35" s="81"/>
      <c r="K35" s="81"/>
      <c r="L35" s="81"/>
      <c r="M35" s="81"/>
      <c r="N35" s="81"/>
      <c r="O35" s="81"/>
      <c r="P35" s="81"/>
      <c r="Q35" s="83"/>
      <c r="R35" s="83"/>
      <c r="S35" s="83"/>
      <c r="T35" s="90"/>
      <c r="U35" s="90"/>
      <c r="V35" s="90"/>
      <c r="W35" s="90"/>
      <c r="X35" s="90"/>
      <c r="Y35" s="92"/>
      <c r="Z35" s="69"/>
      <c r="AA35" s="20"/>
      <c r="AB35" s="103"/>
      <c r="AC35" s="103"/>
      <c r="AD35" s="80"/>
      <c r="AE35" s="80"/>
      <c r="AF35" s="80"/>
      <c r="AG35" s="80"/>
      <c r="AH35" s="80"/>
      <c r="AI35" s="20"/>
      <c r="AJ35" s="104"/>
      <c r="AK35" s="104"/>
      <c r="AL35" s="21"/>
      <c r="AM35" s="21"/>
      <c r="AN35" s="21"/>
      <c r="AO35" s="21"/>
      <c r="AP35" s="21"/>
    </row>
    <row r="36" spans="1:42" ht="14.25" customHeight="1">
      <c r="B36" s="15" t="s">
        <v>58</v>
      </c>
      <c r="C36" s="17" t="str">
        <f>IF(AND(F4="VIGA COM SEÇÃO T", D26="ARMADURA SIMPLES!", D27="Linha neutra está na alma!"), (F12-F16)/(F5*(F13-((F9/2)*C28))), "")</f>
        <v/>
      </c>
      <c r="E36" s="15" t="s">
        <v>59</v>
      </c>
      <c r="F36" s="17">
        <f>IF(AND(F4="VIGA COM SEÇÃO RETANGULAR",D26="ARMADURA DUPLA!"), F34+F35,
IF(AND(F4="VIGA COM SEÇÃO T", D26="ARMADURA DUPLA!", D27="Linha neutra está na alma!"), (F15/F5)+F34,
""))</f>
        <v>20.995785714285713</v>
      </c>
      <c r="H36" s="27">
        <f>F34+H35</f>
        <v>20.995785714285713</v>
      </c>
      <c r="J36" s="81"/>
      <c r="K36" s="81"/>
      <c r="L36" s="81"/>
      <c r="M36" s="81"/>
      <c r="N36" s="81"/>
      <c r="O36" s="81"/>
      <c r="P36" s="81"/>
      <c r="Q36" s="83"/>
      <c r="R36" s="83"/>
      <c r="S36" s="83"/>
      <c r="T36" s="90"/>
      <c r="U36" s="90"/>
      <c r="V36" s="90"/>
      <c r="W36" s="90"/>
      <c r="X36" s="90"/>
      <c r="Y36" s="92"/>
      <c r="Z36" s="69"/>
      <c r="AA36" s="20"/>
      <c r="AB36" s="105"/>
      <c r="AC36" s="105"/>
      <c r="AD36" s="80"/>
      <c r="AE36" s="80"/>
      <c r="AF36" s="80"/>
      <c r="AG36" s="80"/>
      <c r="AH36" s="80"/>
      <c r="AI36" s="20"/>
      <c r="AJ36" s="106"/>
      <c r="AK36" s="106"/>
      <c r="AL36" s="21"/>
      <c r="AM36" s="21"/>
      <c r="AN36" s="21"/>
      <c r="AO36" s="21"/>
      <c r="AP36" s="21"/>
    </row>
    <row r="37" spans="1:42" ht="14.25" customHeight="1">
      <c r="B37" s="15" t="s">
        <v>60</v>
      </c>
      <c r="C37" s="17">
        <f>H5/(F5*(F13-((F9/2)*H9*F13)))</f>
        <v>15.081428571428573</v>
      </c>
      <c r="E37" s="15"/>
      <c r="F37" s="17"/>
      <c r="J37" s="81"/>
      <c r="K37" s="81"/>
      <c r="L37" s="81"/>
      <c r="M37" s="81"/>
      <c r="N37" s="81"/>
      <c r="O37" s="81"/>
      <c r="P37" s="81"/>
      <c r="Q37" s="83"/>
      <c r="R37" s="83"/>
      <c r="S37" s="83"/>
      <c r="T37" s="90"/>
      <c r="U37" s="90"/>
      <c r="V37" s="90"/>
      <c r="W37" s="90"/>
      <c r="X37" s="90"/>
      <c r="Y37" s="92"/>
      <c r="Z37" s="69"/>
      <c r="AA37" s="20"/>
      <c r="AB37" s="103"/>
      <c r="AC37" s="103"/>
      <c r="AD37" s="80"/>
      <c r="AE37" s="80"/>
      <c r="AF37" s="80"/>
      <c r="AG37" s="80"/>
      <c r="AH37" s="80"/>
      <c r="AI37" s="20"/>
      <c r="AJ37" s="104"/>
      <c r="AK37" s="104"/>
      <c r="AL37" s="21"/>
      <c r="AM37" s="21"/>
      <c r="AN37" s="21"/>
      <c r="AO37" s="21"/>
      <c r="AP37" s="21"/>
    </row>
    <row r="38" spans="1:42" ht="14.25" customHeight="1">
      <c r="B38" s="15" t="s">
        <v>61</v>
      </c>
      <c r="C38" s="17">
        <f>H12/(F5*(F13-((F9/2)*H13*F13)))</f>
        <v>20.996451465201464</v>
      </c>
      <c r="E38" s="15"/>
      <c r="F38" s="17"/>
      <c r="J38" s="81"/>
      <c r="K38" s="81"/>
      <c r="L38" s="81"/>
      <c r="M38" s="81"/>
      <c r="N38" s="81"/>
      <c r="O38" s="81"/>
      <c r="P38" s="81"/>
      <c r="Q38" s="83"/>
      <c r="R38" s="83"/>
      <c r="S38" s="83"/>
      <c r="T38" s="90"/>
      <c r="U38" s="90"/>
      <c r="V38" s="90"/>
      <c r="W38" s="90"/>
      <c r="X38" s="90"/>
      <c r="Y38" s="92"/>
      <c r="Z38" s="69"/>
      <c r="AA38" s="20"/>
      <c r="AB38" s="77"/>
      <c r="AC38" s="77"/>
      <c r="AD38" s="80"/>
      <c r="AE38" s="80"/>
      <c r="AF38" s="80"/>
      <c r="AG38" s="80"/>
      <c r="AH38" s="80"/>
      <c r="AI38" s="20"/>
      <c r="AJ38" s="20"/>
      <c r="AK38" s="20"/>
      <c r="AL38" s="20"/>
      <c r="AM38" s="20"/>
      <c r="AN38" s="20"/>
      <c r="AO38" s="20"/>
      <c r="AP38" s="20"/>
    </row>
    <row r="39" spans="1:42" ht="14.25" customHeight="1">
      <c r="B39" s="20"/>
      <c r="C39" s="20"/>
      <c r="E39" s="15"/>
      <c r="F39" s="17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69"/>
      <c r="U39" s="69"/>
      <c r="V39" s="69"/>
      <c r="W39" s="69"/>
      <c r="X39" s="69"/>
      <c r="Y39" s="83"/>
      <c r="Z39" s="69"/>
      <c r="AA39" s="20"/>
      <c r="AB39" s="83"/>
      <c r="AC39" s="83"/>
      <c r="AD39" s="114"/>
      <c r="AE39" s="69"/>
      <c r="AF39" s="69"/>
      <c r="AG39" s="69"/>
      <c r="AH39" s="69"/>
      <c r="AI39" s="20"/>
      <c r="AJ39" s="20"/>
      <c r="AK39" s="20"/>
      <c r="AL39" s="20"/>
      <c r="AM39" s="20"/>
      <c r="AN39" s="20"/>
      <c r="AO39" s="20"/>
      <c r="AP39" s="20"/>
    </row>
    <row r="40" spans="1:42" ht="14.25" customHeight="1">
      <c r="E40" s="15"/>
      <c r="F40" s="17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69"/>
      <c r="U40" s="69"/>
      <c r="V40" s="69"/>
      <c r="W40" s="69"/>
      <c r="X40" s="69"/>
      <c r="Y40" s="83"/>
      <c r="Z40" s="69"/>
      <c r="AA40" s="20"/>
      <c r="AB40" s="83"/>
      <c r="AC40" s="83"/>
      <c r="AD40" s="103"/>
      <c r="AE40" s="69"/>
      <c r="AF40" s="69"/>
      <c r="AG40" s="69"/>
      <c r="AH40" s="69"/>
      <c r="AI40" s="20"/>
      <c r="AJ40" s="20"/>
      <c r="AK40" s="20"/>
      <c r="AL40" s="20"/>
      <c r="AM40" s="20"/>
      <c r="AN40" s="20"/>
      <c r="AO40" s="20"/>
      <c r="AP40" s="20"/>
    </row>
    <row r="41" spans="1:42" ht="14.25" customHeight="1">
      <c r="J41" s="81"/>
      <c r="K41" s="81"/>
      <c r="L41" s="81"/>
      <c r="M41" s="81"/>
      <c r="N41" s="81"/>
      <c r="O41" s="81"/>
      <c r="P41" s="81"/>
      <c r="Q41" s="83"/>
      <c r="R41" s="83"/>
      <c r="S41" s="83"/>
      <c r="T41" s="83"/>
      <c r="U41" s="114"/>
      <c r="V41" s="69"/>
      <c r="W41" s="69"/>
      <c r="X41" s="69"/>
      <c r="Y41" s="69"/>
      <c r="Z41" s="69"/>
      <c r="AA41" s="20"/>
      <c r="AB41" s="105"/>
      <c r="AC41" s="105"/>
      <c r="AD41" s="80"/>
      <c r="AE41" s="80"/>
      <c r="AF41" s="80"/>
      <c r="AG41" s="80"/>
      <c r="AH41" s="80"/>
      <c r="AI41" s="20"/>
      <c r="AJ41" s="20"/>
      <c r="AK41" s="20"/>
      <c r="AL41" s="20"/>
      <c r="AM41" s="20"/>
      <c r="AN41" s="20"/>
      <c r="AO41" s="20"/>
      <c r="AP41" s="20"/>
    </row>
    <row r="42" spans="1:42" ht="14.25" customHeight="1">
      <c r="A42" s="112" t="s">
        <v>62</v>
      </c>
      <c r="B42" s="104"/>
      <c r="C42" s="26" t="s">
        <v>4</v>
      </c>
      <c r="J42" s="81"/>
      <c r="K42" s="81"/>
      <c r="L42" s="81"/>
      <c r="M42" s="81"/>
      <c r="N42" s="81"/>
      <c r="O42" s="81"/>
      <c r="P42" s="81"/>
      <c r="Q42" s="83"/>
      <c r="R42" s="83"/>
      <c r="S42" s="83"/>
      <c r="T42" s="83"/>
      <c r="U42" s="103"/>
      <c r="V42" s="69"/>
      <c r="W42" s="69"/>
      <c r="X42" s="69"/>
      <c r="Y42" s="69"/>
      <c r="Z42" s="69"/>
      <c r="AA42" s="20"/>
      <c r="AB42" s="103"/>
      <c r="AC42" s="103"/>
      <c r="AD42" s="80"/>
      <c r="AE42" s="80"/>
      <c r="AF42" s="80"/>
      <c r="AG42" s="80"/>
      <c r="AH42" s="80"/>
      <c r="AI42" s="20"/>
      <c r="AJ42" s="20"/>
      <c r="AK42" s="20"/>
      <c r="AL42" s="20"/>
      <c r="AM42" s="20"/>
      <c r="AN42" s="20"/>
      <c r="AO42" s="20"/>
      <c r="AP42" s="20"/>
    </row>
    <row r="43" spans="1:42" ht="14.25" customHeight="1">
      <c r="A43" s="15" t="s">
        <v>2</v>
      </c>
      <c r="B43" s="8" t="str">
        <f>C3</f>
        <v>II</v>
      </c>
      <c r="C43" s="8" t="str">
        <f>C4</f>
        <v>Rigoroso</v>
      </c>
      <c r="D43" s="8"/>
      <c r="E43" s="13"/>
      <c r="J43" s="81"/>
      <c r="K43" s="81"/>
      <c r="L43" s="81"/>
      <c r="M43" s="81"/>
      <c r="N43" s="81"/>
      <c r="O43" s="81"/>
      <c r="P43" s="81"/>
      <c r="Q43" s="105"/>
      <c r="R43" s="105"/>
      <c r="S43" s="77"/>
      <c r="T43" s="105"/>
      <c r="U43" s="80"/>
      <c r="V43" s="80"/>
      <c r="W43" s="80"/>
      <c r="X43" s="80"/>
      <c r="Y43" s="80"/>
      <c r="Z43" s="69"/>
      <c r="AA43" s="20"/>
      <c r="AB43" s="105"/>
      <c r="AC43" s="105"/>
      <c r="AD43" s="80"/>
      <c r="AE43" s="80"/>
      <c r="AF43" s="80"/>
      <c r="AG43" s="80"/>
      <c r="AH43" s="80"/>
      <c r="AI43" s="20"/>
      <c r="AJ43" s="20"/>
      <c r="AK43" s="20"/>
      <c r="AL43" s="20"/>
      <c r="AM43" s="20"/>
      <c r="AN43" s="20"/>
      <c r="AO43" s="20"/>
      <c r="AP43" s="20"/>
    </row>
    <row r="44" spans="1:42" ht="14.25" customHeight="1">
      <c r="A44" s="15" t="s">
        <v>63</v>
      </c>
      <c r="B44" s="8">
        <f>C6</f>
        <v>20</v>
      </c>
      <c r="E44" s="13"/>
      <c r="J44" s="81"/>
      <c r="K44" s="81"/>
      <c r="L44" s="81"/>
      <c r="M44" s="81"/>
      <c r="N44" s="81"/>
      <c r="O44" s="81"/>
      <c r="P44" s="81"/>
      <c r="Q44" s="103"/>
      <c r="R44" s="103"/>
      <c r="S44" s="77"/>
      <c r="T44" s="103"/>
      <c r="U44" s="80"/>
      <c r="V44" s="80"/>
      <c r="W44" s="80"/>
      <c r="X44" s="80"/>
      <c r="Y44" s="80"/>
      <c r="Z44" s="69"/>
      <c r="AA44" s="20"/>
      <c r="AB44" s="103"/>
      <c r="AC44" s="103"/>
      <c r="AD44" s="76"/>
      <c r="AE44" s="76"/>
      <c r="AF44" s="76"/>
      <c r="AG44" s="80"/>
      <c r="AH44" s="76"/>
      <c r="AI44" s="20"/>
      <c r="AJ44" s="20"/>
      <c r="AK44" s="20"/>
      <c r="AL44" s="20"/>
      <c r="AM44" s="20"/>
      <c r="AN44" s="20"/>
      <c r="AO44" s="20"/>
      <c r="AP44" s="20"/>
    </row>
    <row r="45" spans="1:42" ht="14.25" customHeight="1">
      <c r="A45" s="15" t="s">
        <v>64</v>
      </c>
      <c r="B45" s="8">
        <f>IF(OR(F4="VIGA COM SEÇÃO T",F4="VIGA COM SEÇÃO RETANGULAR"),
IF(C3="I",2.5-IF(C4="Rigoroso",0.5,0),
IF(C3="II",3-IF(C4="Rigoroso",0.5,0),
IF(C3="III",4-IF(C4="Rigoroso",0.5,0),
IF(C3="IV",5-IF(C4="Rigoroso",0.5,0))))),IF(F4="LAJE",
IF(C3="I",2-IF(C4="Rigoroso",0.5,0),
IF(C3="II",2.5-IF(C4="Rigoroso",0.5,0),
IF(C3="III",3.5-IF(C4="Rigoroso",0.5,0),
IF(C3="IV",4.5-IF(C4="Rigoroso",0.5,0)))))
))</f>
        <v>2.5</v>
      </c>
      <c r="J45" s="81"/>
      <c r="K45" s="81"/>
      <c r="L45" s="81"/>
      <c r="M45" s="81"/>
      <c r="N45" s="81"/>
      <c r="O45" s="81"/>
      <c r="P45" s="81"/>
      <c r="Q45" s="105"/>
      <c r="R45" s="105"/>
      <c r="S45" s="77"/>
      <c r="T45" s="105"/>
      <c r="U45" s="80"/>
      <c r="V45" s="80"/>
      <c r="W45" s="80"/>
      <c r="X45" s="80"/>
      <c r="Y45" s="80"/>
      <c r="Z45" s="69"/>
      <c r="AA45" s="20"/>
      <c r="AB45" s="105"/>
      <c r="AC45" s="105"/>
      <c r="AD45" s="80"/>
      <c r="AE45" s="80"/>
      <c r="AF45" s="80"/>
      <c r="AG45" s="80"/>
      <c r="AH45" s="80"/>
      <c r="AI45" s="20"/>
      <c r="AJ45" s="20"/>
      <c r="AK45" s="20"/>
      <c r="AL45" s="20"/>
      <c r="AM45" s="20"/>
      <c r="AN45" s="20"/>
      <c r="AO45" s="20"/>
      <c r="AP45" s="20"/>
    </row>
    <row r="46" spans="1:42" ht="14.25" customHeight="1">
      <c r="A46" s="15" t="s">
        <v>65</v>
      </c>
      <c r="B46" s="8">
        <v>0.5</v>
      </c>
      <c r="J46" s="81"/>
      <c r="K46" s="81"/>
      <c r="L46" s="81"/>
      <c r="M46" s="81"/>
      <c r="N46" s="81"/>
      <c r="O46" s="81"/>
      <c r="P46" s="81"/>
      <c r="Q46" s="103"/>
      <c r="R46" s="103"/>
      <c r="S46" s="77"/>
      <c r="T46" s="103"/>
      <c r="U46" s="76"/>
      <c r="V46" s="76"/>
      <c r="W46" s="76"/>
      <c r="X46" s="80"/>
      <c r="Y46" s="76"/>
      <c r="Z46" s="69"/>
      <c r="AA46" s="20"/>
      <c r="AB46" s="103"/>
      <c r="AC46" s="103"/>
      <c r="AD46" s="80"/>
      <c r="AE46" s="80"/>
      <c r="AF46" s="80"/>
      <c r="AG46" s="80"/>
      <c r="AH46" s="80"/>
      <c r="AI46" s="20"/>
      <c r="AJ46" s="20"/>
      <c r="AK46" s="20"/>
      <c r="AL46" s="20"/>
      <c r="AM46" s="20"/>
      <c r="AN46" s="20"/>
      <c r="AO46" s="20"/>
      <c r="AP46" s="20"/>
    </row>
    <row r="47" spans="1:42" ht="14.25" customHeight="1">
      <c r="A47" s="15" t="s">
        <v>66</v>
      </c>
      <c r="B47" s="8">
        <v>3</v>
      </c>
      <c r="J47" s="81"/>
      <c r="K47" s="81"/>
      <c r="L47" s="81"/>
      <c r="M47" s="81"/>
      <c r="N47" s="81"/>
      <c r="O47" s="81"/>
      <c r="P47" s="81"/>
      <c r="Q47" s="105"/>
      <c r="R47" s="105"/>
      <c r="S47" s="77"/>
      <c r="T47" s="105"/>
      <c r="U47" s="80"/>
      <c r="V47" s="80"/>
      <c r="W47" s="80"/>
      <c r="X47" s="80"/>
      <c r="Y47" s="80"/>
      <c r="Z47" s="69"/>
      <c r="AA47" s="20"/>
      <c r="AB47" s="111"/>
      <c r="AC47" s="105"/>
      <c r="AD47" s="80"/>
      <c r="AE47" s="80"/>
      <c r="AF47" s="80"/>
      <c r="AG47" s="80"/>
      <c r="AH47" s="80"/>
      <c r="AI47" s="20"/>
      <c r="AJ47" s="20"/>
      <c r="AK47" s="20"/>
      <c r="AL47" s="20"/>
      <c r="AM47" s="20"/>
      <c r="AN47" s="20"/>
      <c r="AO47" s="20"/>
      <c r="AP47" s="20"/>
    </row>
    <row r="48" spans="1:42" ht="18" customHeight="1">
      <c r="A48" s="15" t="s">
        <v>67</v>
      </c>
      <c r="B48" s="8">
        <v>2.5</v>
      </c>
      <c r="J48" s="81"/>
      <c r="K48" s="81"/>
      <c r="L48" s="81"/>
      <c r="M48" s="81"/>
      <c r="N48" s="81"/>
      <c r="O48" s="81"/>
      <c r="P48" s="81"/>
      <c r="Q48" s="103"/>
      <c r="R48" s="103"/>
      <c r="S48" s="77"/>
      <c r="T48" s="103"/>
      <c r="U48" s="80"/>
      <c r="V48" s="80"/>
      <c r="W48" s="80"/>
      <c r="X48" s="80"/>
      <c r="Y48" s="80"/>
      <c r="Z48" s="69"/>
      <c r="AA48" s="20"/>
      <c r="AB48" s="103"/>
      <c r="AC48" s="103"/>
      <c r="AD48" s="80"/>
      <c r="AE48" s="80"/>
      <c r="AF48" s="80"/>
      <c r="AG48" s="80"/>
      <c r="AH48" s="80"/>
      <c r="AI48" s="20"/>
      <c r="AJ48" s="20"/>
      <c r="AK48" s="20"/>
      <c r="AL48" s="20"/>
      <c r="AM48" s="20"/>
      <c r="AN48" s="20"/>
      <c r="AO48" s="20"/>
      <c r="AP48" s="20"/>
    </row>
    <row r="49" spans="1:42" ht="18" customHeight="1">
      <c r="A49" s="15" t="s">
        <v>68</v>
      </c>
      <c r="B49" s="8">
        <v>1.9</v>
      </c>
      <c r="J49" s="81"/>
      <c r="K49" s="81"/>
      <c r="L49" s="81"/>
      <c r="M49" s="81"/>
      <c r="N49" s="81"/>
      <c r="O49" s="81"/>
      <c r="P49" s="81"/>
      <c r="Q49" s="115"/>
      <c r="R49" s="111"/>
      <c r="S49" s="85"/>
      <c r="T49" s="105"/>
      <c r="U49" s="80"/>
      <c r="V49" s="80"/>
      <c r="W49" s="80"/>
      <c r="X49" s="80"/>
      <c r="Y49" s="80"/>
      <c r="Z49" s="69"/>
      <c r="AA49" s="20"/>
      <c r="AB49" s="105"/>
      <c r="AC49" s="105"/>
      <c r="AD49" s="80"/>
      <c r="AE49" s="80"/>
      <c r="AF49" s="80"/>
      <c r="AG49" s="80"/>
      <c r="AH49" s="80"/>
      <c r="AI49" s="20"/>
      <c r="AJ49" s="20"/>
      <c r="AK49" s="20"/>
      <c r="AL49" s="20"/>
      <c r="AM49" s="20"/>
      <c r="AN49" s="20"/>
      <c r="AO49" s="20"/>
      <c r="AP49" s="20"/>
    </row>
    <row r="50" spans="1:42" ht="18" customHeight="1">
      <c r="A50" s="15" t="s">
        <v>69</v>
      </c>
      <c r="B50" s="8">
        <f>(B44-(2*B45)-(2*B46)-(B47*B48))/(B47-1)</f>
        <v>3.25</v>
      </c>
      <c r="C50" s="26" t="str">
        <f>IF(B50&gt;=MAX(B48,2,1.2*B49),"ESPAÇAMENTO OK!","NÃO ATENDE NBR:6118 (2023)")</f>
        <v>ESPAÇAMENTO OK!</v>
      </c>
      <c r="J50" s="81"/>
      <c r="K50" s="81"/>
      <c r="L50" s="81"/>
      <c r="M50" s="81"/>
      <c r="N50" s="81"/>
      <c r="O50" s="81"/>
      <c r="P50" s="81"/>
      <c r="Q50" s="116"/>
      <c r="R50" s="103"/>
      <c r="S50" s="85"/>
      <c r="T50" s="103"/>
      <c r="U50" s="80"/>
      <c r="V50" s="80"/>
      <c r="W50" s="80"/>
      <c r="X50" s="80"/>
      <c r="Y50" s="80"/>
      <c r="Z50" s="69"/>
      <c r="AA50" s="20"/>
      <c r="AB50" s="103"/>
      <c r="AC50" s="103"/>
      <c r="AD50" s="80"/>
      <c r="AE50" s="80"/>
      <c r="AF50" s="80"/>
      <c r="AG50" s="80"/>
      <c r="AH50" s="80"/>
      <c r="AI50" s="20"/>
      <c r="AJ50" s="20"/>
      <c r="AK50" s="20"/>
      <c r="AL50" s="20"/>
      <c r="AM50" s="20"/>
      <c r="AN50" s="20"/>
      <c r="AO50" s="20"/>
      <c r="AP50" s="20"/>
    </row>
    <row r="51" spans="1:42" ht="30" customHeight="1">
      <c r="A51" s="99"/>
      <c r="B51" s="100"/>
      <c r="C51" s="100"/>
      <c r="D51" s="100"/>
      <c r="E51" s="100"/>
      <c r="F51" s="100"/>
      <c r="G51" s="101"/>
      <c r="H51" s="1"/>
      <c r="I51" s="1"/>
      <c r="J51" s="73"/>
      <c r="K51" s="73"/>
      <c r="L51" s="73"/>
      <c r="M51" s="73"/>
      <c r="N51" s="73"/>
      <c r="O51" s="73"/>
      <c r="P51" s="73"/>
      <c r="Q51" s="105"/>
      <c r="R51" s="105"/>
      <c r="S51" s="77"/>
      <c r="T51" s="105"/>
      <c r="U51" s="80"/>
      <c r="V51" s="80"/>
      <c r="W51" s="80"/>
      <c r="X51" s="80"/>
      <c r="Y51" s="80"/>
      <c r="Z51" s="69"/>
      <c r="AA51" s="20"/>
      <c r="AB51" s="105"/>
      <c r="AC51" s="105"/>
      <c r="AD51" s="80"/>
      <c r="AE51" s="80"/>
      <c r="AF51" s="80"/>
      <c r="AG51" s="80"/>
      <c r="AH51" s="80"/>
      <c r="AI51" s="20"/>
      <c r="AJ51" s="20"/>
      <c r="AK51" s="20"/>
      <c r="AL51" s="20"/>
      <c r="AM51" s="20"/>
      <c r="AN51" s="20"/>
      <c r="AO51" s="20"/>
      <c r="AP51" s="20"/>
    </row>
    <row r="52" spans="1:42" ht="14.25" customHeight="1">
      <c r="A52" s="45"/>
      <c r="B52" s="45"/>
      <c r="C52" s="45"/>
      <c r="D52" s="45"/>
      <c r="E52" s="45"/>
      <c r="F52" s="45"/>
      <c r="G52" s="45"/>
      <c r="H52" s="45"/>
      <c r="I52" s="45"/>
      <c r="J52" s="93"/>
      <c r="K52" s="93"/>
      <c r="L52" s="93"/>
      <c r="M52" s="93"/>
      <c r="N52" s="93"/>
      <c r="O52" s="93"/>
      <c r="P52" s="93"/>
      <c r="Q52" s="103"/>
      <c r="R52" s="103"/>
      <c r="S52" s="77"/>
      <c r="T52" s="103"/>
      <c r="U52" s="80"/>
      <c r="V52" s="80"/>
      <c r="W52" s="80"/>
      <c r="X52" s="80"/>
      <c r="Y52" s="80"/>
      <c r="Z52" s="69"/>
      <c r="AA52" s="20"/>
      <c r="AB52" s="103"/>
      <c r="AC52" s="103"/>
      <c r="AD52" s="80"/>
      <c r="AE52" s="80"/>
      <c r="AF52" s="80"/>
      <c r="AG52" s="80"/>
      <c r="AH52" s="80"/>
      <c r="AI52" s="20"/>
      <c r="AJ52" s="20"/>
      <c r="AK52" s="20"/>
      <c r="AL52" s="20"/>
      <c r="AM52" s="20"/>
      <c r="AN52" s="20"/>
      <c r="AO52" s="20"/>
      <c r="AP52" s="20"/>
    </row>
    <row r="53" spans="1:42" ht="18" customHeight="1">
      <c r="B53" s="15"/>
      <c r="C53" s="21"/>
      <c r="D53" s="8"/>
      <c r="J53" s="81"/>
      <c r="K53" s="81"/>
      <c r="L53" s="81"/>
      <c r="M53" s="81"/>
      <c r="N53" s="81"/>
      <c r="O53" s="81"/>
      <c r="P53" s="81"/>
      <c r="Q53" s="105"/>
      <c r="R53" s="105"/>
      <c r="S53" s="77"/>
      <c r="T53" s="105"/>
      <c r="U53" s="80"/>
      <c r="V53" s="80"/>
      <c r="W53" s="80"/>
      <c r="X53" s="80"/>
      <c r="Y53" s="80"/>
      <c r="Z53" s="69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spans="1:42" ht="18" customHeight="1">
      <c r="B54" s="15"/>
      <c r="C54" s="21"/>
      <c r="D54" s="8"/>
      <c r="J54" s="81"/>
      <c r="K54" s="81"/>
      <c r="L54" s="81"/>
      <c r="M54" s="81"/>
      <c r="N54" s="81"/>
      <c r="O54" s="81"/>
      <c r="P54" s="81"/>
      <c r="Q54" s="103"/>
      <c r="R54" s="103"/>
      <c r="S54" s="77"/>
      <c r="T54" s="103"/>
      <c r="U54" s="80"/>
      <c r="V54" s="80"/>
      <c r="W54" s="80"/>
      <c r="X54" s="80"/>
      <c r="Y54" s="80"/>
      <c r="Z54" s="69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 spans="1:42" ht="18" customHeight="1">
      <c r="B55" s="15"/>
      <c r="C55" s="21"/>
      <c r="D55" s="8"/>
      <c r="Q55" s="35"/>
      <c r="R55" s="35"/>
      <c r="S55" s="35"/>
      <c r="T55" s="35"/>
      <c r="U55" s="21"/>
      <c r="V55" s="21"/>
      <c r="W55" s="21"/>
      <c r="X55" s="21"/>
      <c r="Y55" s="21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 spans="1:42" ht="18" customHeight="1">
      <c r="B56" s="15"/>
      <c r="C56" s="21"/>
      <c r="D56" s="8"/>
      <c r="O56" s="8"/>
      <c r="P56" s="35"/>
      <c r="T56" s="20"/>
      <c r="U56" s="20"/>
      <c r="V56" s="21"/>
      <c r="W56" s="21"/>
      <c r="X56" s="21"/>
      <c r="Y56" s="21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spans="1:42" ht="18" customHeight="1">
      <c r="B57" s="15"/>
      <c r="C57" s="21"/>
      <c r="D57" s="8"/>
      <c r="O57" s="8"/>
      <c r="P57" s="35"/>
      <c r="T57" s="8"/>
      <c r="U57" s="20"/>
      <c r="V57" s="21"/>
      <c r="W57" s="21"/>
      <c r="X57" s="21"/>
      <c r="Y57" s="21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spans="1:42" ht="18" customHeight="1">
      <c r="B58" s="15"/>
      <c r="C58" s="21"/>
      <c r="D58" s="8"/>
      <c r="O58" s="74"/>
      <c r="P58" s="74"/>
      <c r="Q58" s="75"/>
      <c r="R58" s="75"/>
      <c r="S58" s="75"/>
      <c r="T58" s="74"/>
      <c r="U58" s="74"/>
      <c r="V58" s="21"/>
      <c r="W58" s="21"/>
      <c r="X58" s="21"/>
      <c r="Y58" s="21"/>
      <c r="Z58" s="20"/>
      <c r="AA58" s="20"/>
      <c r="AB58" s="8"/>
      <c r="AC58" s="35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spans="1:42" ht="18" customHeight="1">
      <c r="B59" s="15"/>
      <c r="C59" s="21"/>
      <c r="D59" s="8"/>
      <c r="O59" s="80"/>
      <c r="P59" s="105"/>
      <c r="Q59" s="78"/>
      <c r="R59" s="108"/>
      <c r="S59" s="110"/>
      <c r="T59" s="80"/>
      <c r="U59" s="80"/>
      <c r="V59" s="21"/>
      <c r="W59" s="21"/>
      <c r="X59" s="21"/>
      <c r="Y59" s="21"/>
      <c r="Z59" s="20"/>
      <c r="AA59" s="20"/>
      <c r="AB59" s="8"/>
      <c r="AC59" s="35"/>
      <c r="AG59" s="8"/>
      <c r="AH59" s="20"/>
      <c r="AI59" s="20"/>
      <c r="AJ59" s="20"/>
      <c r="AK59" s="20"/>
      <c r="AL59" s="20"/>
      <c r="AM59" s="20"/>
      <c r="AN59" s="20"/>
      <c r="AO59" s="20"/>
      <c r="AP59" s="20"/>
    </row>
    <row r="60" spans="1:42" ht="18" customHeight="1">
      <c r="B60" s="15"/>
      <c r="C60" s="21"/>
      <c r="D60" s="8"/>
      <c r="O60" s="80"/>
      <c r="P60" s="103"/>
      <c r="Q60" s="79"/>
      <c r="R60" s="103"/>
      <c r="S60" s="103"/>
      <c r="T60" s="80"/>
      <c r="U60" s="80"/>
      <c r="V60" s="21"/>
      <c r="W60" s="21"/>
      <c r="X60" s="21"/>
      <c r="Y60" s="21"/>
      <c r="Z60" s="20"/>
      <c r="AA60" s="20"/>
      <c r="AB60" s="29"/>
      <c r="AC60" s="29"/>
      <c r="AD60" s="30"/>
      <c r="AE60" s="30"/>
      <c r="AF60" s="30"/>
      <c r="AG60" s="29"/>
      <c r="AH60" s="29"/>
      <c r="AI60" s="20"/>
      <c r="AJ60" s="20"/>
      <c r="AK60" s="20"/>
      <c r="AL60" s="20"/>
      <c r="AM60" s="20"/>
      <c r="AN60" s="20"/>
      <c r="AO60" s="20"/>
      <c r="AP60" s="20"/>
    </row>
    <row r="61" spans="1:42" ht="18" customHeight="1">
      <c r="B61" s="15"/>
      <c r="C61" s="21"/>
      <c r="D61" s="8"/>
      <c r="O61" s="80"/>
      <c r="P61" s="103"/>
      <c r="Q61" s="78"/>
      <c r="R61" s="103"/>
      <c r="S61" s="103"/>
      <c r="T61" s="80"/>
      <c r="U61" s="80"/>
      <c r="V61" s="21"/>
      <c r="W61" s="21"/>
      <c r="X61" s="21"/>
      <c r="Y61" s="21"/>
      <c r="Z61" s="20"/>
      <c r="AA61" s="20"/>
      <c r="AB61" s="21"/>
      <c r="AC61" s="106"/>
      <c r="AD61" s="16"/>
      <c r="AE61" s="117"/>
      <c r="AF61" s="118"/>
      <c r="AG61" s="21"/>
      <c r="AH61" s="21"/>
      <c r="AI61" s="20"/>
      <c r="AJ61" s="20"/>
      <c r="AK61" s="20"/>
      <c r="AL61" s="20"/>
      <c r="AM61" s="20"/>
      <c r="AN61" s="20"/>
      <c r="AO61" s="20"/>
      <c r="AP61" s="20"/>
    </row>
    <row r="62" spans="1:42" ht="18" customHeight="1">
      <c r="B62" s="15"/>
      <c r="C62" s="21"/>
      <c r="D62" s="8"/>
      <c r="O62" s="80"/>
      <c r="P62" s="103"/>
      <c r="Q62" s="79"/>
      <c r="R62" s="103"/>
      <c r="S62" s="103"/>
      <c r="T62" s="80"/>
      <c r="U62" s="76"/>
      <c r="V62" s="21"/>
      <c r="W62" s="21"/>
      <c r="X62" s="21"/>
      <c r="Y62" s="21"/>
      <c r="Z62" s="20"/>
      <c r="AA62" s="20"/>
      <c r="AB62" s="21"/>
      <c r="AC62" s="104"/>
      <c r="AD62" s="31"/>
      <c r="AE62" s="104"/>
      <c r="AF62" s="104"/>
      <c r="AG62" s="21"/>
      <c r="AH62" s="21"/>
      <c r="AI62" s="20"/>
      <c r="AJ62" s="20"/>
      <c r="AK62" s="20"/>
      <c r="AL62" s="20"/>
      <c r="AM62" s="20"/>
      <c r="AN62" s="20"/>
      <c r="AO62" s="20"/>
      <c r="AP62" s="20"/>
    </row>
    <row r="63" spans="1:42" ht="18" customHeight="1">
      <c r="B63" s="15"/>
      <c r="C63" s="17"/>
      <c r="D63" s="46"/>
      <c r="O63" s="80"/>
      <c r="P63" s="103"/>
      <c r="Q63" s="77"/>
      <c r="R63" s="103"/>
      <c r="S63" s="103"/>
      <c r="T63" s="80"/>
      <c r="U63" s="80"/>
      <c r="V63" s="20"/>
      <c r="W63" s="20"/>
      <c r="X63" s="20"/>
      <c r="Y63" s="20"/>
      <c r="Z63" s="20"/>
      <c r="AA63" s="20"/>
      <c r="AB63" s="21"/>
      <c r="AC63" s="104"/>
      <c r="AD63" s="16"/>
      <c r="AE63" s="104"/>
      <c r="AF63" s="104"/>
      <c r="AG63" s="21"/>
      <c r="AH63" s="21"/>
      <c r="AI63" s="20"/>
      <c r="AJ63" s="20"/>
      <c r="AK63" s="20"/>
      <c r="AL63" s="20"/>
      <c r="AM63" s="20"/>
      <c r="AN63" s="20"/>
      <c r="AO63" s="20"/>
      <c r="AP63" s="20"/>
    </row>
    <row r="64" spans="1:42" ht="18" customHeight="1">
      <c r="B64" s="15"/>
      <c r="C64" s="17"/>
      <c r="D64" s="27"/>
      <c r="O64" s="83"/>
      <c r="P64" s="77"/>
      <c r="Q64" s="81"/>
      <c r="R64" s="81"/>
      <c r="S64" s="81"/>
      <c r="T64" s="69"/>
      <c r="U64" s="69"/>
      <c r="V64" s="20"/>
      <c r="W64" s="20"/>
      <c r="X64" s="20"/>
      <c r="Y64" s="20"/>
      <c r="Z64" s="20"/>
      <c r="AA64" s="20"/>
      <c r="AB64" s="21"/>
      <c r="AC64" s="104"/>
      <c r="AD64" s="31"/>
      <c r="AE64" s="104"/>
      <c r="AF64" s="104"/>
      <c r="AG64" s="21"/>
      <c r="AH64" s="17"/>
      <c r="AI64" s="20"/>
      <c r="AJ64" s="20"/>
      <c r="AK64" s="20"/>
      <c r="AL64" s="20"/>
      <c r="AM64" s="20"/>
      <c r="AN64" s="20"/>
      <c r="AO64" s="20"/>
      <c r="AP64" s="20"/>
    </row>
    <row r="65" spans="2:42" ht="18" customHeight="1">
      <c r="B65" s="15"/>
      <c r="C65" s="17"/>
      <c r="D65" s="27"/>
      <c r="O65" s="83"/>
      <c r="P65" s="77"/>
      <c r="Q65" s="81"/>
      <c r="R65" s="81"/>
      <c r="S65" s="81"/>
      <c r="T65" s="83"/>
      <c r="U65" s="69"/>
      <c r="V65" s="20"/>
      <c r="W65" s="20"/>
      <c r="X65" s="20"/>
      <c r="Y65" s="20"/>
      <c r="Z65" s="20"/>
      <c r="AA65" s="20"/>
      <c r="AB65" s="21"/>
      <c r="AC65" s="104"/>
      <c r="AD65" s="35"/>
      <c r="AE65" s="104"/>
      <c r="AF65" s="104"/>
      <c r="AG65" s="21"/>
      <c r="AH65" s="21"/>
      <c r="AI65" s="20"/>
      <c r="AJ65" s="20"/>
      <c r="AK65" s="20"/>
      <c r="AL65" s="20"/>
      <c r="AM65" s="20"/>
      <c r="AN65" s="20"/>
      <c r="AO65" s="20"/>
      <c r="AP65" s="20"/>
    </row>
    <row r="66" spans="2:42" ht="18" customHeight="1">
      <c r="B66" s="15"/>
      <c r="C66" s="17"/>
      <c r="D66" s="27"/>
      <c r="O66" s="74"/>
      <c r="P66" s="74"/>
      <c r="Q66" s="75"/>
      <c r="R66" s="75"/>
      <c r="S66" s="75"/>
      <c r="T66" s="74"/>
      <c r="U66" s="74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spans="2:42" ht="18" customHeight="1">
      <c r="B67" s="15"/>
      <c r="C67" s="21"/>
      <c r="D67" s="8"/>
      <c r="O67" s="80"/>
      <c r="P67" s="105"/>
      <c r="Q67" s="78"/>
      <c r="R67" s="78"/>
      <c r="S67" s="79"/>
      <c r="T67" s="80"/>
      <c r="U67" s="80"/>
      <c r="V67" s="20"/>
      <c r="W67" s="20"/>
      <c r="X67" s="20"/>
      <c r="Y67" s="20"/>
      <c r="Z67" s="20"/>
      <c r="AA67" s="20"/>
      <c r="AB67" s="8"/>
      <c r="AC67" s="35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 spans="2:42" ht="18" customHeight="1">
      <c r="B68" s="15"/>
      <c r="C68" s="21"/>
      <c r="D68" s="8"/>
      <c r="O68" s="80"/>
      <c r="P68" s="103"/>
      <c r="Q68" s="79"/>
      <c r="R68" s="108"/>
      <c r="S68" s="110"/>
      <c r="T68" s="80"/>
      <c r="U68" s="80"/>
      <c r="V68" s="20"/>
      <c r="W68" s="20"/>
      <c r="X68" s="20"/>
      <c r="Y68" s="20"/>
      <c r="Z68" s="20"/>
      <c r="AA68" s="20"/>
      <c r="AB68" s="8"/>
      <c r="AC68" s="35"/>
      <c r="AG68" s="8"/>
      <c r="AH68" s="20"/>
      <c r="AI68" s="20"/>
      <c r="AJ68" s="20"/>
      <c r="AK68" s="20"/>
      <c r="AL68" s="20"/>
      <c r="AM68" s="20"/>
      <c r="AN68" s="20"/>
      <c r="AO68" s="20"/>
      <c r="AP68" s="20"/>
    </row>
    <row r="69" spans="2:42" ht="18" customHeight="1">
      <c r="O69" s="80"/>
      <c r="P69" s="103"/>
      <c r="Q69" s="78"/>
      <c r="R69" s="103"/>
      <c r="S69" s="103"/>
      <c r="T69" s="80"/>
      <c r="U69" s="80"/>
      <c r="V69" s="20"/>
      <c r="W69" s="20"/>
      <c r="X69" s="20"/>
      <c r="Y69" s="20"/>
      <c r="Z69" s="20"/>
      <c r="AA69" s="20"/>
      <c r="AB69" s="29"/>
      <c r="AC69" s="29"/>
      <c r="AD69" s="30"/>
      <c r="AE69" s="30"/>
      <c r="AF69" s="30"/>
      <c r="AG69" s="29"/>
      <c r="AH69" s="29"/>
      <c r="AI69" s="20"/>
      <c r="AJ69" s="20"/>
      <c r="AK69" s="20"/>
      <c r="AL69" s="20"/>
      <c r="AM69" s="20"/>
      <c r="AN69" s="20"/>
      <c r="AO69" s="20"/>
      <c r="AP69" s="20"/>
    </row>
    <row r="70" spans="2:42" ht="18" customHeight="1">
      <c r="O70" s="80"/>
      <c r="P70" s="103"/>
      <c r="Q70" s="79"/>
      <c r="R70" s="103"/>
      <c r="S70" s="103"/>
      <c r="T70" s="80"/>
      <c r="U70" s="80"/>
      <c r="V70" s="20"/>
      <c r="W70" s="20"/>
      <c r="X70" s="20"/>
      <c r="Y70" s="20"/>
      <c r="Z70" s="20"/>
      <c r="AA70" s="20"/>
      <c r="AB70" s="21"/>
      <c r="AC70" s="106"/>
      <c r="AD70" s="16"/>
      <c r="AE70" s="16"/>
      <c r="AF70" s="31"/>
      <c r="AG70" s="21"/>
      <c r="AH70" s="21"/>
      <c r="AI70" s="20"/>
      <c r="AJ70" s="20"/>
      <c r="AK70" s="20"/>
      <c r="AL70" s="20"/>
      <c r="AM70" s="20"/>
      <c r="AN70" s="20"/>
      <c r="AO70" s="20"/>
      <c r="AP70" s="20"/>
    </row>
    <row r="71" spans="2:42" ht="18" customHeight="1">
      <c r="B71" s="15"/>
      <c r="C71" s="17"/>
      <c r="D71" s="27"/>
      <c r="O71" s="80"/>
      <c r="P71" s="103"/>
      <c r="Q71" s="77"/>
      <c r="R71" s="103"/>
      <c r="S71" s="103"/>
      <c r="T71" s="80"/>
      <c r="U71" s="80"/>
      <c r="V71" s="20"/>
      <c r="W71" s="20"/>
      <c r="X71" s="20"/>
      <c r="Y71" s="20"/>
      <c r="Z71" s="20"/>
      <c r="AA71" s="20"/>
      <c r="AB71" s="21"/>
      <c r="AC71" s="104"/>
      <c r="AD71" s="31"/>
      <c r="AE71" s="117"/>
      <c r="AF71" s="118"/>
      <c r="AG71" s="21"/>
      <c r="AH71" s="21"/>
      <c r="AI71" s="20"/>
      <c r="AJ71" s="20"/>
      <c r="AK71" s="20"/>
      <c r="AL71" s="20"/>
      <c r="AM71" s="20"/>
      <c r="AN71" s="20"/>
      <c r="AO71" s="20"/>
      <c r="AP71" s="20"/>
    </row>
    <row r="72" spans="2:42" ht="18" customHeight="1">
      <c r="B72" s="15"/>
      <c r="C72" s="17"/>
      <c r="D72" s="27"/>
      <c r="O72" s="83"/>
      <c r="P72" s="77"/>
      <c r="Q72" s="77"/>
      <c r="R72" s="78"/>
      <c r="S72" s="79"/>
      <c r="T72" s="80"/>
      <c r="U72" s="80"/>
      <c r="V72" s="20"/>
      <c r="W72" s="20"/>
      <c r="X72" s="20"/>
      <c r="Y72" s="20"/>
      <c r="Z72" s="20"/>
      <c r="AA72" s="20"/>
      <c r="AB72" s="21"/>
      <c r="AC72" s="104"/>
      <c r="AD72" s="16"/>
      <c r="AE72" s="104"/>
      <c r="AF72" s="104"/>
      <c r="AG72" s="21"/>
      <c r="AH72" s="21"/>
      <c r="AI72" s="20"/>
      <c r="AJ72" s="20"/>
      <c r="AK72" s="20"/>
      <c r="AL72" s="20"/>
      <c r="AM72" s="20"/>
      <c r="AN72" s="20"/>
      <c r="AO72" s="20"/>
      <c r="AP72" s="20"/>
    </row>
    <row r="73" spans="2:42" ht="18" customHeight="1">
      <c r="B73" s="15"/>
      <c r="C73" s="17"/>
      <c r="D73" s="27"/>
      <c r="O73" s="83"/>
      <c r="P73" s="77"/>
      <c r="Q73" s="77"/>
      <c r="R73" s="78"/>
      <c r="S73" s="79"/>
      <c r="T73" s="80"/>
      <c r="U73" s="80"/>
      <c r="V73" s="20"/>
      <c r="W73" s="20"/>
      <c r="X73" s="20"/>
      <c r="Y73" s="20"/>
      <c r="Z73" s="20"/>
      <c r="AA73" s="20"/>
      <c r="AB73" s="21"/>
      <c r="AC73" s="104"/>
      <c r="AD73" s="31"/>
      <c r="AE73" s="104"/>
      <c r="AF73" s="104"/>
      <c r="AG73" s="21"/>
      <c r="AH73" s="21"/>
      <c r="AI73" s="20"/>
      <c r="AJ73" s="20"/>
      <c r="AK73" s="20"/>
      <c r="AL73" s="20"/>
      <c r="AM73" s="20"/>
      <c r="AN73" s="20"/>
      <c r="AO73" s="20"/>
      <c r="AP73" s="20"/>
    </row>
    <row r="74" spans="2:42" ht="18" customHeight="1">
      <c r="B74" s="15"/>
      <c r="C74" s="17"/>
      <c r="D74" s="27"/>
      <c r="O74" s="74"/>
      <c r="P74" s="74"/>
      <c r="Q74" s="75"/>
      <c r="R74" s="75"/>
      <c r="S74" s="75"/>
      <c r="T74" s="74"/>
      <c r="U74" s="74"/>
      <c r="V74" s="20"/>
      <c r="W74" s="20"/>
      <c r="X74" s="20"/>
      <c r="Y74" s="20"/>
      <c r="Z74" s="20"/>
      <c r="AA74" s="20"/>
      <c r="AB74" s="21"/>
      <c r="AC74" s="104"/>
      <c r="AD74" s="35"/>
      <c r="AE74" s="104"/>
      <c r="AF74" s="104"/>
      <c r="AG74" s="21"/>
      <c r="AH74" s="21"/>
      <c r="AI74" s="20"/>
      <c r="AJ74" s="20"/>
      <c r="AK74" s="20"/>
      <c r="AL74" s="20"/>
      <c r="AM74" s="20"/>
      <c r="AN74" s="20"/>
      <c r="AO74" s="20"/>
      <c r="AP74" s="20"/>
    </row>
    <row r="75" spans="2:42" ht="18" customHeight="1">
      <c r="B75" s="15"/>
      <c r="C75" s="17"/>
      <c r="D75" s="27"/>
      <c r="O75" s="80"/>
      <c r="P75" s="105"/>
      <c r="Q75" s="78"/>
      <c r="R75" s="78"/>
      <c r="S75" s="79"/>
      <c r="T75" s="80"/>
      <c r="U75" s="8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 spans="2:42" ht="18" customHeight="1">
      <c r="B76" s="15"/>
      <c r="C76" s="17"/>
      <c r="D76" s="27"/>
      <c r="O76" s="80"/>
      <c r="P76" s="103"/>
      <c r="Q76" s="79"/>
      <c r="R76" s="79"/>
      <c r="S76" s="79"/>
      <c r="T76" s="80"/>
      <c r="U76" s="8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 spans="2:42" ht="18" customHeight="1">
      <c r="B77" s="15"/>
      <c r="C77" s="17"/>
      <c r="D77" s="27"/>
      <c r="O77" s="80"/>
      <c r="P77" s="103"/>
      <c r="Q77" s="78"/>
      <c r="R77" s="108"/>
      <c r="S77" s="110"/>
      <c r="T77" s="80"/>
      <c r="U77" s="8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 spans="2:42" ht="18" customHeight="1">
      <c r="B78" s="15"/>
      <c r="C78" s="17"/>
      <c r="D78" s="27"/>
      <c r="O78" s="80"/>
      <c r="P78" s="103"/>
      <c r="Q78" s="79"/>
      <c r="R78" s="103"/>
      <c r="S78" s="103"/>
      <c r="T78" s="80"/>
      <c r="U78" s="8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 spans="2:42" ht="18" customHeight="1">
      <c r="B79" s="15"/>
      <c r="C79" s="17"/>
      <c r="D79" s="27"/>
      <c r="O79" s="80"/>
      <c r="P79" s="103"/>
      <c r="Q79" s="77"/>
      <c r="R79" s="103"/>
      <c r="S79" s="103"/>
      <c r="T79" s="80"/>
      <c r="U79" s="8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spans="2:42" ht="18" customHeight="1">
      <c r="B80" s="15"/>
      <c r="C80" s="17"/>
      <c r="D80" s="27"/>
      <c r="O80" s="83"/>
      <c r="P80" s="77"/>
      <c r="Q80" s="77"/>
      <c r="R80" s="78"/>
      <c r="S80" s="79"/>
      <c r="T80" s="80"/>
      <c r="U80" s="8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 spans="2:42" ht="18" customHeight="1">
      <c r="B81" s="15"/>
      <c r="C81" s="17"/>
      <c r="D81" s="27"/>
      <c r="O81" s="83"/>
      <c r="P81" s="77"/>
      <c r="Q81" s="77"/>
      <c r="R81" s="77"/>
      <c r="S81" s="77"/>
      <c r="T81" s="83"/>
      <c r="U81" s="83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</row>
    <row r="82" spans="2:42" ht="14.25" customHeight="1">
      <c r="O82" s="74"/>
      <c r="P82" s="74"/>
      <c r="Q82" s="75"/>
      <c r="R82" s="75"/>
      <c r="S82" s="75"/>
      <c r="T82" s="74"/>
      <c r="U82" s="74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</row>
    <row r="83" spans="2:42" ht="14.25" customHeight="1">
      <c r="O83" s="80"/>
      <c r="P83" s="105"/>
      <c r="Q83" s="78"/>
      <c r="R83" s="78"/>
      <c r="S83" s="79"/>
      <c r="T83" s="80"/>
      <c r="U83" s="8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</row>
    <row r="84" spans="2:42" ht="14.25" customHeight="1">
      <c r="O84" s="80"/>
      <c r="P84" s="103"/>
      <c r="Q84" s="79"/>
      <c r="R84" s="79"/>
      <c r="S84" s="79"/>
      <c r="T84" s="80"/>
      <c r="U84" s="8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</row>
    <row r="85" spans="2:42" ht="14.25" customHeight="1">
      <c r="O85" s="80"/>
      <c r="P85" s="103"/>
      <c r="Q85" s="78"/>
      <c r="R85" s="78"/>
      <c r="S85" s="79"/>
      <c r="T85" s="80"/>
      <c r="U85" s="8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</row>
    <row r="86" spans="2:42" ht="14.25" customHeight="1">
      <c r="O86" s="80"/>
      <c r="P86" s="103"/>
      <c r="Q86" s="79"/>
      <c r="R86" s="79"/>
      <c r="S86" s="79"/>
      <c r="T86" s="80"/>
      <c r="U86" s="8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</row>
    <row r="87" spans="2:42" ht="14.25" customHeight="1">
      <c r="O87" s="80"/>
      <c r="P87" s="103"/>
      <c r="Q87" s="77"/>
      <c r="R87" s="77"/>
      <c r="S87" s="77"/>
      <c r="T87" s="80"/>
      <c r="U87" s="8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</row>
    <row r="88" spans="2:42" ht="14.25" customHeight="1">
      <c r="O88" s="80"/>
      <c r="P88" s="77"/>
      <c r="Q88" s="77"/>
      <c r="R88" s="77"/>
      <c r="S88" s="77"/>
      <c r="T88" s="80"/>
      <c r="U88" s="8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</row>
    <row r="89" spans="2:42" ht="14.25" customHeight="1">
      <c r="O89" s="80"/>
      <c r="P89" s="77"/>
      <c r="Q89" s="77"/>
      <c r="R89" s="77"/>
      <c r="S89" s="77"/>
      <c r="T89" s="80"/>
      <c r="U89" s="8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</row>
    <row r="90" spans="2:42" ht="14.25" customHeight="1">
      <c r="O90" s="80"/>
      <c r="P90" s="77"/>
      <c r="Q90" s="77"/>
      <c r="R90" s="77"/>
      <c r="S90" s="77"/>
      <c r="T90" s="80"/>
      <c r="U90" s="8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</row>
    <row r="91" spans="2:42" ht="14.25" customHeight="1">
      <c r="O91" s="83"/>
      <c r="P91" s="98"/>
      <c r="Q91" s="77"/>
      <c r="R91" s="77"/>
      <c r="S91" s="77"/>
      <c r="T91" s="83"/>
      <c r="U91" s="83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</row>
    <row r="92" spans="2:42" ht="14.25" customHeight="1">
      <c r="O92" s="83"/>
      <c r="P92" s="83"/>
      <c r="Q92" s="77"/>
      <c r="R92" s="81"/>
      <c r="S92" s="81"/>
      <c r="T92" s="69"/>
      <c r="U92" s="69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</row>
    <row r="93" spans="2:42" ht="14.25" customHeight="1">
      <c r="O93" s="74"/>
      <c r="P93" s="74"/>
      <c r="Q93" s="75"/>
      <c r="R93" s="75"/>
      <c r="S93" s="75"/>
      <c r="T93" s="74"/>
      <c r="U93" s="74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</row>
    <row r="94" spans="2:42" ht="14.25" customHeight="1">
      <c r="O94" s="80"/>
      <c r="P94" s="105"/>
      <c r="Q94" s="77"/>
      <c r="R94" s="77"/>
      <c r="S94" s="77"/>
      <c r="T94" s="80"/>
      <c r="U94" s="8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</row>
    <row r="95" spans="2:42" ht="14.25" customHeight="1">
      <c r="O95" s="80"/>
      <c r="P95" s="103"/>
      <c r="Q95" s="78"/>
      <c r="R95" s="108"/>
      <c r="S95" s="110"/>
      <c r="T95" s="80"/>
      <c r="U95" s="8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</row>
    <row r="96" spans="2:42" ht="14.25" customHeight="1">
      <c r="O96" s="80"/>
      <c r="P96" s="103"/>
      <c r="Q96" s="79"/>
      <c r="R96" s="103"/>
      <c r="S96" s="103"/>
      <c r="T96" s="80"/>
      <c r="U96" s="8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</row>
    <row r="97" spans="15:42" ht="14.25" customHeight="1">
      <c r="O97" s="80"/>
      <c r="P97" s="103"/>
      <c r="Q97" s="79"/>
      <c r="R97" s="103"/>
      <c r="S97" s="103"/>
      <c r="T97" s="80"/>
      <c r="U97" s="8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</row>
    <row r="98" spans="15:42" ht="14.25" customHeight="1">
      <c r="O98" s="80"/>
      <c r="P98" s="103"/>
      <c r="Q98" s="77"/>
      <c r="R98" s="103"/>
      <c r="S98" s="103"/>
      <c r="T98" s="80"/>
      <c r="U98" s="8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</row>
    <row r="99" spans="15:42" ht="14.25" customHeight="1">
      <c r="O99" s="83"/>
      <c r="P99" s="98"/>
      <c r="Q99" s="77"/>
      <c r="R99" s="77"/>
      <c r="S99" s="77"/>
      <c r="T99" s="83"/>
      <c r="U99" s="83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</row>
    <row r="100" spans="15:42" ht="14.25" customHeight="1">
      <c r="O100" s="83"/>
      <c r="P100" s="83"/>
      <c r="Q100" s="77"/>
      <c r="R100" s="81"/>
      <c r="S100" s="81"/>
      <c r="T100" s="69"/>
      <c r="U100" s="69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</row>
    <row r="101" spans="15:42" ht="14.25" customHeight="1">
      <c r="O101" s="74"/>
      <c r="P101" s="74"/>
      <c r="Q101" s="75"/>
      <c r="R101" s="75"/>
      <c r="S101" s="75"/>
      <c r="T101" s="74"/>
      <c r="U101" s="74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</row>
    <row r="102" spans="15:42" ht="14.25" customHeight="1">
      <c r="O102" s="80"/>
      <c r="P102" s="105"/>
      <c r="Q102" s="77"/>
      <c r="R102" s="77"/>
      <c r="S102" s="77"/>
      <c r="T102" s="80"/>
      <c r="U102" s="8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</row>
    <row r="103" spans="15:42" ht="14.25" customHeight="1">
      <c r="O103" s="80"/>
      <c r="P103" s="103"/>
      <c r="Q103" s="78"/>
      <c r="R103" s="78"/>
      <c r="S103" s="79"/>
      <c r="T103" s="80"/>
      <c r="U103" s="8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</row>
    <row r="104" spans="15:42" ht="14.25" customHeight="1">
      <c r="O104" s="80"/>
      <c r="P104" s="103"/>
      <c r="Q104" s="79"/>
      <c r="R104" s="108"/>
      <c r="S104" s="110"/>
      <c r="T104" s="80"/>
      <c r="U104" s="8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</row>
    <row r="105" spans="15:42" ht="14.25" customHeight="1">
      <c r="O105" s="80"/>
      <c r="P105" s="103"/>
      <c r="Q105" s="79"/>
      <c r="R105" s="103"/>
      <c r="S105" s="103"/>
      <c r="T105" s="80"/>
      <c r="U105" s="8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</row>
    <row r="106" spans="15:42" ht="14.25" customHeight="1">
      <c r="O106" s="80"/>
      <c r="P106" s="103"/>
      <c r="Q106" s="77"/>
      <c r="R106" s="103"/>
      <c r="S106" s="103"/>
      <c r="T106" s="80"/>
      <c r="U106" s="8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</row>
    <row r="107" spans="15:42" ht="14.25" customHeight="1">
      <c r="O107" s="83"/>
      <c r="P107" s="98"/>
      <c r="Q107" s="77"/>
      <c r="R107" s="77"/>
      <c r="S107" s="77"/>
      <c r="T107" s="83"/>
      <c r="U107" s="83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</row>
    <row r="108" spans="15:42" ht="14.25" customHeight="1">
      <c r="O108" s="83"/>
      <c r="P108" s="83"/>
      <c r="Q108" s="77"/>
      <c r="R108" s="81"/>
      <c r="S108" s="81"/>
      <c r="T108" s="69"/>
      <c r="U108" s="69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</row>
    <row r="109" spans="15:42" ht="14.25" customHeight="1">
      <c r="O109" s="74"/>
      <c r="P109" s="74"/>
      <c r="Q109" s="75"/>
      <c r="R109" s="75"/>
      <c r="S109" s="75"/>
      <c r="T109" s="74"/>
      <c r="U109" s="74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</row>
    <row r="110" spans="15:42" ht="14.25" customHeight="1">
      <c r="O110" s="80"/>
      <c r="P110" s="105"/>
      <c r="Q110" s="77"/>
      <c r="R110" s="77"/>
      <c r="S110" s="77"/>
      <c r="T110" s="80"/>
      <c r="U110" s="8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</row>
    <row r="111" spans="15:42" ht="14.25" customHeight="1">
      <c r="O111" s="80"/>
      <c r="P111" s="103"/>
      <c r="Q111" s="78"/>
      <c r="R111" s="78"/>
      <c r="S111" s="79"/>
      <c r="T111" s="80"/>
      <c r="U111" s="8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</row>
    <row r="112" spans="15:42" ht="14.25" customHeight="1">
      <c r="O112" s="80"/>
      <c r="P112" s="103"/>
      <c r="Q112" s="79"/>
      <c r="R112" s="108"/>
      <c r="S112" s="110"/>
      <c r="T112" s="80"/>
      <c r="U112" s="8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</row>
    <row r="113" spans="15:42" ht="14.25" customHeight="1">
      <c r="O113" s="80"/>
      <c r="P113" s="103"/>
      <c r="Q113" s="79"/>
      <c r="R113" s="103"/>
      <c r="S113" s="103"/>
      <c r="T113" s="80"/>
      <c r="U113" s="8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</row>
    <row r="114" spans="15:42" ht="14.25" customHeight="1">
      <c r="O114" s="80"/>
      <c r="P114" s="103"/>
      <c r="Q114" s="77"/>
      <c r="R114" s="103"/>
      <c r="S114" s="103"/>
      <c r="T114" s="80"/>
      <c r="U114" s="8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</row>
    <row r="115" spans="15:42" ht="14.25" customHeight="1">
      <c r="O115" s="83"/>
      <c r="P115" s="98"/>
      <c r="Q115" s="77"/>
      <c r="R115" s="78"/>
      <c r="S115" s="79"/>
      <c r="T115" s="80"/>
      <c r="U115" s="8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</row>
    <row r="116" spans="15:42" ht="14.25" customHeight="1">
      <c r="O116" s="83"/>
      <c r="P116" s="83"/>
      <c r="Q116" s="77"/>
      <c r="R116" s="81"/>
      <c r="S116" s="81"/>
      <c r="T116" s="69"/>
      <c r="U116" s="69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</row>
    <row r="117" spans="15:42" ht="14.25" customHeight="1">
      <c r="O117" s="74"/>
      <c r="P117" s="74"/>
      <c r="Q117" s="75"/>
      <c r="R117" s="75"/>
      <c r="S117" s="75"/>
      <c r="T117" s="74"/>
      <c r="U117" s="74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</row>
    <row r="118" spans="15:42" ht="14.25" customHeight="1">
      <c r="O118" s="80"/>
      <c r="P118" s="105"/>
      <c r="Q118" s="77"/>
      <c r="R118" s="77"/>
      <c r="S118" s="77"/>
      <c r="T118" s="80"/>
      <c r="U118" s="8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</row>
    <row r="119" spans="15:42" ht="14.25" customHeight="1">
      <c r="O119" s="80"/>
      <c r="P119" s="103"/>
      <c r="Q119" s="78"/>
      <c r="R119" s="78"/>
      <c r="S119" s="79"/>
      <c r="T119" s="80"/>
      <c r="U119" s="8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</row>
    <row r="120" spans="15:42" ht="14.25" customHeight="1">
      <c r="O120" s="80"/>
      <c r="P120" s="103"/>
      <c r="Q120" s="79"/>
      <c r="R120" s="79"/>
      <c r="S120" s="79"/>
      <c r="T120" s="80"/>
      <c r="U120" s="8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</row>
    <row r="121" spans="15:42" ht="14.25" customHeight="1">
      <c r="O121" s="80"/>
      <c r="P121" s="103"/>
      <c r="Q121" s="79"/>
      <c r="R121" s="79"/>
      <c r="S121" s="79"/>
      <c r="T121" s="80"/>
      <c r="U121" s="8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</row>
    <row r="122" spans="15:42" ht="14.25" customHeight="1">
      <c r="O122" s="80"/>
      <c r="P122" s="103"/>
      <c r="Q122" s="77"/>
      <c r="R122" s="77"/>
      <c r="S122" s="77"/>
      <c r="T122" s="80"/>
      <c r="U122" s="8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</row>
    <row r="123" spans="15:42" ht="14.25" customHeight="1"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</row>
    <row r="124" spans="15:42" ht="14.25" customHeight="1">
      <c r="O124" s="26"/>
      <c r="P124" s="26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</row>
    <row r="125" spans="15:42" ht="14.25" customHeight="1">
      <c r="O125" s="13"/>
      <c r="P125" s="26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</row>
    <row r="126" spans="15:42" ht="14.25" customHeight="1"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</row>
    <row r="127" spans="15:42" ht="14.25" customHeight="1"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</row>
    <row r="128" spans="15:42" ht="14.25" customHeight="1"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</row>
    <row r="129" spans="20:42" ht="14.25" customHeight="1"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</row>
    <row r="130" spans="20:42" ht="14.25" customHeight="1"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</row>
    <row r="131" spans="20:42" ht="14.25" customHeight="1"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</row>
    <row r="132" spans="20:42" ht="14.25" customHeight="1"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</row>
    <row r="133" spans="20:42" ht="14.25" customHeight="1"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</row>
    <row r="134" spans="20:42" ht="14.25" customHeight="1"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</row>
    <row r="135" spans="20:42" ht="14.25" customHeight="1"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</row>
    <row r="136" spans="20:42" ht="14.25" customHeight="1"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</row>
    <row r="137" spans="20:42" ht="14.25" customHeight="1"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</row>
    <row r="138" spans="20:42" ht="14.25" customHeight="1"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</row>
    <row r="139" spans="20:42" ht="14.25" customHeight="1"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</row>
    <row r="140" spans="20:42" ht="14.25" customHeight="1"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</row>
    <row r="141" spans="20:42" ht="14.25" customHeight="1"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</row>
    <row r="142" spans="20:42" ht="14.25" customHeight="1"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</row>
    <row r="143" spans="20:42" ht="14.25" customHeight="1"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</row>
    <row r="144" spans="20:42" ht="14.25" customHeight="1"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</row>
    <row r="145" spans="20:42" ht="14.25" customHeight="1"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</row>
    <row r="146" spans="20:42" ht="14.25" customHeight="1"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</row>
    <row r="147" spans="20:42" ht="14.25" customHeight="1"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</row>
    <row r="148" spans="20:42" ht="14.25" customHeight="1"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</row>
    <row r="149" spans="20:42" ht="14.25" customHeight="1"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</row>
    <row r="150" spans="20:42" ht="14.25" customHeight="1"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</row>
    <row r="151" spans="20:42" ht="14.25" customHeight="1"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</row>
    <row r="152" spans="20:42" ht="14.25" customHeight="1"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</row>
    <row r="153" spans="20:42" ht="14.25" customHeight="1"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</row>
    <row r="154" spans="20:42" ht="14.25" customHeight="1"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</row>
    <row r="155" spans="20:42" ht="14.25" customHeight="1"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</row>
    <row r="156" spans="20:42" ht="14.25" customHeight="1"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</row>
    <row r="157" spans="20:42" ht="14.25" customHeight="1"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</row>
    <row r="158" spans="20:42" ht="14.25" customHeight="1"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</row>
    <row r="159" spans="20:42" ht="14.25" customHeight="1"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</row>
    <row r="160" spans="20:42" ht="14.25" customHeight="1"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</row>
    <row r="161" spans="20:42" ht="14.25" customHeight="1"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</row>
    <row r="162" spans="20:42" ht="14.25" customHeight="1"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</row>
    <row r="163" spans="20:42" ht="14.25" customHeight="1"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</row>
    <row r="164" spans="20:42" ht="14.25" customHeight="1"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</row>
    <row r="165" spans="20:42" ht="14.25" customHeight="1"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</row>
    <row r="166" spans="20:42" ht="14.25" customHeight="1"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</row>
    <row r="167" spans="20:42" ht="14.25" customHeight="1"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</row>
    <row r="168" spans="20:42" ht="14.25" customHeight="1"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</row>
    <row r="169" spans="20:42" ht="14.25" customHeight="1"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</row>
    <row r="170" spans="20:42" ht="14.25" customHeight="1"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</row>
    <row r="171" spans="20:42" ht="14.25" customHeight="1"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</row>
    <row r="172" spans="20:42" ht="14.25" customHeight="1"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</row>
    <row r="173" spans="20:42" ht="14.25" customHeight="1"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</row>
    <row r="174" spans="20:42" ht="14.25" customHeight="1"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</row>
    <row r="175" spans="20:42" ht="14.25" customHeight="1"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</row>
    <row r="176" spans="20:42" ht="14.25" customHeight="1"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</row>
    <row r="177" spans="20:42" ht="14.25" customHeight="1"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</row>
    <row r="178" spans="20:42" ht="14.25" customHeight="1"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</row>
    <row r="179" spans="20:42" ht="14.25" customHeight="1"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</row>
    <row r="180" spans="20:42" ht="14.25" customHeight="1"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</row>
    <row r="181" spans="20:42" ht="14.25" customHeight="1"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</row>
    <row r="182" spans="20:42" ht="14.25" customHeight="1"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</row>
    <row r="183" spans="20:42" ht="14.25" customHeight="1"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</row>
    <row r="184" spans="20:42" ht="14.25" customHeight="1"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</row>
    <row r="185" spans="20:42" ht="14.25" customHeight="1"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</row>
    <row r="186" spans="20:42" ht="14.25" customHeight="1"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</row>
    <row r="187" spans="20:42" ht="14.25" customHeight="1"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</row>
    <row r="188" spans="20:42" ht="14.25" customHeight="1"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</row>
    <row r="189" spans="20:42" ht="14.25" customHeight="1"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</row>
    <row r="190" spans="20:42" ht="14.25" customHeight="1"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</row>
    <row r="191" spans="20:42" ht="14.25" customHeight="1"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</row>
    <row r="192" spans="20:42" ht="14.25" customHeight="1"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</row>
    <row r="193" spans="20:42" ht="14.25" customHeight="1"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</row>
    <row r="194" spans="20:42" ht="14.25" customHeight="1"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</row>
    <row r="195" spans="20:42" ht="14.25" customHeight="1"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</row>
    <row r="196" spans="20:42" ht="14.25" customHeight="1"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</row>
    <row r="197" spans="20:42" ht="14.25" customHeight="1"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</row>
    <row r="198" spans="20:42" ht="14.25" customHeight="1"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</row>
    <row r="199" spans="20:42" ht="14.25" customHeight="1"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</row>
    <row r="200" spans="20:42" ht="14.25" customHeight="1"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</row>
    <row r="201" spans="20:42" ht="14.25" customHeight="1"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</row>
    <row r="202" spans="20:42" ht="14.25" customHeight="1"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</row>
    <row r="203" spans="20:42" ht="14.25" customHeight="1"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</row>
    <row r="204" spans="20:42" ht="14.25" customHeight="1"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</row>
    <row r="205" spans="20:42" ht="14.25" customHeight="1"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</row>
    <row r="206" spans="20:42" ht="14.25" customHeight="1"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</row>
    <row r="207" spans="20:42" ht="14.25" customHeight="1"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</row>
    <row r="208" spans="20:42" ht="14.25" customHeight="1"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</row>
    <row r="209" spans="20:42" ht="14.25" customHeight="1"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</row>
    <row r="210" spans="20:42" ht="14.25" customHeight="1"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</row>
    <row r="211" spans="20:42" ht="14.25" customHeight="1"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</row>
    <row r="212" spans="20:42" ht="14.25" customHeight="1"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</row>
    <row r="213" spans="20:42" ht="14.25" customHeight="1"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</row>
    <row r="214" spans="20:42" ht="14.25" customHeight="1"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</row>
    <row r="215" spans="20:42" ht="14.25" customHeight="1"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</row>
    <row r="216" spans="20:42" ht="14.25" customHeight="1"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</row>
    <row r="217" spans="20:42" ht="14.25" customHeight="1"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</row>
    <row r="218" spans="20:42" ht="14.25" customHeight="1"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</row>
    <row r="219" spans="20:42" ht="14.25" customHeight="1"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</row>
    <row r="220" spans="20:42" ht="14.25" customHeight="1"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</row>
    <row r="221" spans="20:42" ht="14.25" customHeight="1"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</row>
    <row r="222" spans="20:42" ht="14.25" customHeight="1"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</row>
    <row r="223" spans="20:42" ht="14.25" customHeight="1"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</row>
    <row r="224" spans="20:42" ht="14.25" customHeight="1"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</row>
    <row r="225" spans="20:42" ht="14.25" customHeight="1"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</row>
    <row r="226" spans="20:42" ht="14.25" customHeight="1"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</row>
    <row r="227" spans="20:42" ht="14.25" customHeight="1"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</row>
    <row r="228" spans="20:42" ht="14.25" customHeight="1"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</row>
    <row r="229" spans="20:42" ht="14.25" customHeight="1"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</row>
    <row r="230" spans="20:42" ht="14.25" customHeight="1"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</row>
    <row r="231" spans="20:42" ht="14.25" customHeight="1"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</row>
    <row r="232" spans="20:42" ht="14.25" customHeight="1"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</row>
    <row r="233" spans="20:42" ht="14.25" customHeight="1"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</row>
    <row r="234" spans="20:42" ht="14.25" customHeight="1"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</row>
    <row r="235" spans="20:42" ht="14.25" customHeight="1"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</row>
    <row r="236" spans="20:42" ht="14.25" customHeight="1"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</row>
    <row r="237" spans="20:42" ht="14.25" customHeight="1"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</row>
    <row r="238" spans="20:42" ht="14.25" customHeight="1"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</row>
    <row r="239" spans="20:42" ht="14.25" customHeight="1"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</row>
    <row r="240" spans="20:42" ht="14.25" customHeight="1"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</row>
    <row r="241" spans="20:42" ht="14.25" customHeight="1"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</row>
    <row r="242" spans="20:42" ht="14.25" customHeight="1"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</row>
    <row r="243" spans="20:42" ht="14.25" customHeight="1"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</row>
    <row r="244" spans="20:42" ht="14.25" customHeight="1"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</row>
    <row r="245" spans="20:42" ht="14.25" customHeight="1"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</row>
    <row r="246" spans="20:42" ht="14.25" customHeight="1"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</row>
    <row r="247" spans="20:42" ht="14.25" customHeight="1"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</row>
    <row r="248" spans="20:42" ht="14.25" customHeight="1"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</row>
    <row r="249" spans="20:42" ht="14.25" customHeight="1"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</row>
    <row r="250" spans="20:42" ht="14.25" customHeight="1"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</row>
    <row r="251" spans="20:42" ht="14.25" customHeight="1"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</row>
    <row r="252" spans="20:42" ht="14.25" customHeight="1"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</row>
    <row r="253" spans="20:42" ht="14.25" customHeight="1"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</row>
    <row r="254" spans="20:42" ht="14.25" customHeight="1"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</row>
    <row r="255" spans="20:42" ht="14.25" customHeight="1"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</row>
    <row r="256" spans="20:42" ht="14.25" customHeight="1"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</row>
    <row r="257" spans="20:42" ht="14.25" customHeight="1"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</row>
    <row r="258" spans="20:42" ht="14.25" customHeight="1"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</row>
    <row r="259" spans="20:42" ht="14.25" customHeight="1"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</row>
    <row r="260" spans="20:42" ht="14.25" customHeight="1"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</row>
    <row r="261" spans="20:42" ht="14.25" customHeight="1"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</row>
    <row r="262" spans="20:42" ht="14.25" customHeight="1"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</row>
    <row r="263" spans="20:42" ht="14.25" customHeight="1"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</row>
    <row r="264" spans="20:42" ht="14.25" customHeight="1"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</row>
    <row r="265" spans="20:42" ht="14.25" customHeight="1"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</row>
    <row r="266" spans="20:42" ht="14.25" customHeight="1"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</row>
    <row r="267" spans="20:42" ht="14.25" customHeight="1"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</row>
    <row r="268" spans="20:42" ht="14.25" customHeight="1"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</row>
    <row r="269" spans="20:42" ht="14.25" customHeight="1"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</row>
    <row r="270" spans="20:42" ht="14.25" customHeight="1"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</row>
    <row r="271" spans="20:42" ht="14.25" customHeight="1"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</row>
    <row r="272" spans="20:42" ht="14.25" customHeight="1"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</row>
    <row r="273" spans="20:42" ht="14.25" customHeight="1"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</row>
    <row r="274" spans="20:42" ht="14.25" customHeight="1"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</row>
    <row r="275" spans="20:42" ht="14.25" customHeight="1"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</row>
    <row r="276" spans="20:42" ht="14.25" customHeight="1"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</row>
    <row r="277" spans="20:42" ht="14.25" customHeight="1"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</row>
    <row r="278" spans="20:42" ht="14.25" customHeight="1"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</row>
    <row r="279" spans="20:42" ht="14.25" customHeight="1"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</row>
    <row r="280" spans="20:42" ht="14.25" customHeight="1"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</row>
    <row r="281" spans="20:42" ht="14.25" customHeight="1"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</row>
    <row r="282" spans="20:42" ht="14.25" customHeight="1"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</row>
    <row r="283" spans="20:42" ht="14.25" customHeight="1"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</row>
    <row r="284" spans="20:42" ht="14.25" customHeight="1"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</row>
    <row r="285" spans="20:42" ht="14.25" customHeight="1"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</row>
    <row r="286" spans="20:42" ht="14.25" customHeight="1"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</row>
    <row r="287" spans="20:42" ht="14.25" customHeight="1"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</row>
    <row r="288" spans="20:42" ht="14.25" customHeight="1"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</row>
    <row r="289" spans="20:42" ht="14.25" customHeight="1"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</row>
    <row r="290" spans="20:42" ht="14.25" customHeight="1"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</row>
    <row r="291" spans="20:42" ht="14.25" customHeight="1"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</row>
    <row r="292" spans="20:42" ht="14.25" customHeight="1"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</row>
    <row r="293" spans="20:42" ht="14.25" customHeight="1"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</row>
    <row r="294" spans="20:42" ht="14.25" customHeight="1"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</row>
    <row r="295" spans="20:42" ht="14.25" customHeight="1"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</row>
    <row r="296" spans="20:42" ht="14.25" customHeight="1"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</row>
    <row r="297" spans="20:42" ht="14.25" customHeight="1"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</row>
    <row r="298" spans="20:42" ht="14.25" customHeight="1"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</row>
    <row r="299" spans="20:42" ht="14.25" customHeight="1"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</row>
    <row r="300" spans="20:42" ht="14.25" customHeight="1"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</row>
    <row r="301" spans="20:42" ht="14.25" customHeight="1"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</row>
    <row r="302" spans="20:42" ht="14.25" customHeight="1"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</row>
    <row r="303" spans="20:42" ht="14.25" customHeight="1"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</row>
    <row r="304" spans="20:42" ht="14.25" customHeight="1"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</row>
    <row r="305" spans="20:42" ht="14.25" customHeight="1"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</row>
    <row r="306" spans="20:42" ht="14.25" customHeight="1"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</row>
    <row r="307" spans="20:42" ht="14.25" customHeight="1"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</row>
    <row r="308" spans="20:42" ht="14.25" customHeight="1"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</row>
    <row r="309" spans="20:42" ht="14.25" customHeight="1"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</row>
    <row r="310" spans="20:42" ht="14.25" customHeight="1"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</row>
    <row r="311" spans="20:42" ht="14.25" customHeight="1"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</row>
    <row r="312" spans="20:42" ht="14.25" customHeight="1"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</row>
    <row r="313" spans="20:42" ht="14.25" customHeight="1"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</row>
    <row r="314" spans="20:42" ht="14.25" customHeight="1"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</row>
    <row r="315" spans="20:42" ht="14.25" customHeight="1"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</row>
    <row r="316" spans="20:42" ht="14.25" customHeight="1"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</row>
    <row r="317" spans="20:42" ht="14.25" customHeight="1"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</row>
    <row r="318" spans="20:42" ht="14.25" customHeight="1"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</row>
    <row r="319" spans="20:42" ht="14.25" customHeight="1"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</row>
    <row r="320" spans="20:42" ht="14.25" customHeight="1"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</row>
    <row r="321" spans="20:42" ht="14.25" customHeight="1"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</row>
    <row r="322" spans="20:42" ht="14.25" customHeight="1"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</row>
    <row r="323" spans="20:42" ht="14.25" customHeight="1"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</row>
    <row r="324" spans="20:42" ht="14.25" customHeight="1"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</row>
    <row r="325" spans="20:42" ht="14.25" customHeight="1"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</row>
    <row r="326" spans="20:42" ht="14.25" customHeight="1"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</row>
    <row r="327" spans="20:42" ht="14.25" customHeight="1"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</row>
    <row r="328" spans="20:42" ht="14.25" customHeight="1"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</row>
    <row r="329" spans="20:42" ht="14.25" customHeight="1"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</row>
    <row r="330" spans="20:42" ht="14.25" customHeight="1"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</row>
    <row r="331" spans="20:42" ht="14.25" customHeight="1"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</row>
    <row r="332" spans="20:42" ht="14.25" customHeight="1"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</row>
    <row r="333" spans="20:42" ht="14.25" customHeight="1"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</row>
    <row r="334" spans="20:42" ht="14.25" customHeight="1"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</row>
    <row r="335" spans="20:42" ht="14.25" customHeight="1"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</row>
    <row r="336" spans="20:42" ht="14.25" customHeight="1"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</row>
    <row r="337" spans="20:42" ht="14.25" customHeight="1"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</row>
    <row r="338" spans="20:42" ht="14.25" customHeight="1"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</row>
    <row r="339" spans="20:42" ht="14.25" customHeight="1"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</row>
    <row r="340" spans="20:42" ht="14.25" customHeight="1"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</row>
    <row r="341" spans="20:42" ht="14.25" customHeight="1"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</row>
    <row r="342" spans="20:42" ht="14.25" customHeight="1"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</row>
    <row r="343" spans="20:42" ht="14.25" customHeight="1"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</row>
    <row r="344" spans="20:42" ht="14.25" customHeight="1"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</row>
    <row r="345" spans="20:42" ht="14.25" customHeight="1"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</row>
    <row r="346" spans="20:42" ht="14.25" customHeight="1"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</row>
    <row r="347" spans="20:42" ht="14.25" customHeight="1"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</row>
    <row r="348" spans="20:42" ht="14.25" customHeight="1"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</row>
    <row r="349" spans="20:42" ht="14.25" customHeight="1"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</row>
    <row r="350" spans="20:42" ht="14.25" customHeight="1"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</row>
    <row r="351" spans="20:42" ht="14.25" customHeight="1"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</row>
    <row r="352" spans="20:42" ht="14.25" customHeight="1"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</row>
    <row r="353" spans="20:42" ht="14.25" customHeight="1"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</row>
    <row r="354" spans="20:42" ht="14.25" customHeight="1"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</row>
    <row r="355" spans="20:42" ht="14.25" customHeight="1"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</row>
    <row r="356" spans="20:42" ht="14.25" customHeight="1"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</row>
    <row r="357" spans="20:42" ht="14.25" customHeight="1"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</row>
    <row r="358" spans="20:42" ht="14.25" customHeight="1"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</row>
    <row r="359" spans="20:42" ht="14.25" customHeight="1"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</row>
    <row r="360" spans="20:42" ht="14.25" customHeight="1"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</row>
    <row r="361" spans="20:42" ht="14.25" customHeight="1"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</row>
    <row r="362" spans="20:42" ht="14.25" customHeight="1"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</row>
    <row r="363" spans="20:42" ht="14.25" customHeight="1"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</row>
    <row r="364" spans="20:42" ht="14.25" customHeight="1"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</row>
    <row r="365" spans="20:42" ht="14.25" customHeight="1"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</row>
    <row r="366" spans="20:42" ht="14.25" customHeight="1"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</row>
    <row r="367" spans="20:42" ht="14.25" customHeight="1"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</row>
    <row r="368" spans="20:42" ht="14.25" customHeight="1"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</row>
    <row r="369" spans="20:42" ht="14.25" customHeight="1"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</row>
    <row r="370" spans="20:42" ht="14.25" customHeight="1"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</row>
    <row r="371" spans="20:42" ht="14.25" customHeight="1"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</row>
    <row r="372" spans="20:42" ht="14.25" customHeight="1"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</row>
    <row r="373" spans="20:42" ht="14.25" customHeight="1"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</row>
    <row r="374" spans="20:42" ht="14.25" customHeight="1"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</row>
    <row r="375" spans="20:42" ht="14.25" customHeight="1"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</row>
    <row r="376" spans="20:42" ht="14.25" customHeight="1"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</row>
    <row r="377" spans="20:42" ht="14.25" customHeight="1"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</row>
    <row r="378" spans="20:42" ht="14.25" customHeight="1"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</row>
    <row r="379" spans="20:42" ht="14.25" customHeight="1"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</row>
    <row r="380" spans="20:42" ht="14.25" customHeight="1"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</row>
    <row r="381" spans="20:42" ht="14.25" customHeight="1"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</row>
    <row r="382" spans="20:42" ht="14.25" customHeight="1"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</row>
    <row r="383" spans="20:42" ht="14.25" customHeight="1"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</row>
    <row r="384" spans="20:42" ht="14.25" customHeight="1"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</row>
    <row r="385" spans="20:42" ht="14.25" customHeight="1"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</row>
    <row r="386" spans="20:42" ht="14.25" customHeight="1"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</row>
    <row r="387" spans="20:42" ht="14.25" customHeight="1"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</row>
    <row r="388" spans="20:42" ht="14.25" customHeight="1"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</row>
    <row r="389" spans="20:42" ht="14.25" customHeight="1"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</row>
    <row r="390" spans="20:42" ht="14.25" customHeight="1"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</row>
    <row r="391" spans="20:42" ht="14.25" customHeight="1"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</row>
    <row r="392" spans="20:42" ht="14.25" customHeight="1"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</row>
    <row r="393" spans="20:42" ht="14.25" customHeight="1"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</row>
    <row r="394" spans="20:42" ht="14.25" customHeight="1"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</row>
    <row r="395" spans="20:42" ht="14.25" customHeight="1"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</row>
    <row r="396" spans="20:42" ht="14.25" customHeight="1"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</row>
    <row r="397" spans="20:42" ht="14.25" customHeight="1"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</row>
    <row r="398" spans="20:42" ht="14.25" customHeight="1"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</row>
    <row r="399" spans="20:42" ht="14.25" customHeight="1"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</row>
    <row r="400" spans="20:42" ht="14.25" customHeight="1"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</row>
    <row r="401" spans="20:42" ht="14.25" customHeight="1"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</row>
    <row r="402" spans="20:42" ht="14.25" customHeight="1"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</row>
    <row r="403" spans="20:42" ht="14.25" customHeight="1"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</row>
    <row r="404" spans="20:42" ht="14.25" customHeight="1"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</row>
    <row r="405" spans="20:42" ht="14.25" customHeight="1"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</row>
    <row r="406" spans="20:42" ht="14.25" customHeight="1"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</row>
    <row r="407" spans="20:42" ht="14.25" customHeight="1"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</row>
    <row r="408" spans="20:42" ht="14.25" customHeight="1"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</row>
    <row r="409" spans="20:42" ht="14.25" customHeight="1"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</row>
    <row r="410" spans="20:42" ht="14.25" customHeight="1"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</row>
    <row r="411" spans="20:42" ht="14.25" customHeight="1"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</row>
    <row r="412" spans="20:42" ht="14.25" customHeight="1"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</row>
    <row r="413" spans="20:42" ht="14.25" customHeight="1"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</row>
    <row r="414" spans="20:42" ht="14.25" customHeight="1"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</row>
    <row r="415" spans="20:42" ht="14.25" customHeight="1"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</row>
    <row r="416" spans="20:42" ht="14.25" customHeight="1"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</row>
    <row r="417" spans="20:42" ht="14.25" customHeight="1"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</row>
    <row r="418" spans="20:42" ht="14.25" customHeight="1"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</row>
    <row r="419" spans="20:42" ht="14.25" customHeight="1"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</row>
    <row r="420" spans="20:42" ht="14.25" customHeight="1"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</row>
    <row r="421" spans="20:42" ht="14.25" customHeight="1"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</row>
    <row r="422" spans="20:42" ht="14.25" customHeight="1"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</row>
    <row r="423" spans="20:42" ht="14.25" customHeight="1"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</row>
    <row r="424" spans="20:42" ht="14.25" customHeight="1"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</row>
    <row r="425" spans="20:42" ht="14.25" customHeight="1"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</row>
    <row r="426" spans="20:42" ht="14.25" customHeight="1"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</row>
    <row r="427" spans="20:42" ht="14.25" customHeight="1"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</row>
    <row r="428" spans="20:42" ht="14.25" customHeight="1"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</row>
    <row r="429" spans="20:42" ht="14.25" customHeight="1"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</row>
    <row r="430" spans="20:42" ht="14.25" customHeight="1"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</row>
    <row r="431" spans="20:42" ht="14.25" customHeight="1"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</row>
    <row r="432" spans="20:42" ht="14.25" customHeight="1"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</row>
    <row r="433" spans="20:42" ht="14.25" customHeight="1"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</row>
    <row r="434" spans="20:42" ht="14.25" customHeight="1"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</row>
    <row r="435" spans="20:42" ht="14.25" customHeight="1"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</row>
    <row r="436" spans="20:42" ht="14.25" customHeight="1"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</row>
    <row r="437" spans="20:42" ht="14.25" customHeight="1"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</row>
    <row r="438" spans="20:42" ht="14.25" customHeight="1"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</row>
    <row r="439" spans="20:42" ht="14.25" customHeight="1"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</row>
    <row r="440" spans="20:42" ht="14.25" customHeight="1"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</row>
    <row r="441" spans="20:42" ht="14.25" customHeight="1"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</row>
    <row r="442" spans="20:42" ht="14.25" customHeight="1"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</row>
    <row r="443" spans="20:42" ht="14.25" customHeight="1"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</row>
    <row r="444" spans="20:42" ht="14.25" customHeight="1"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</row>
    <row r="445" spans="20:42" ht="14.25" customHeight="1"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</row>
    <row r="446" spans="20:42" ht="14.25" customHeight="1"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</row>
    <row r="447" spans="20:42" ht="14.25" customHeight="1"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</row>
    <row r="448" spans="20:42" ht="14.25" customHeight="1"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</row>
    <row r="449" spans="20:42" ht="14.25" customHeight="1"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</row>
    <row r="450" spans="20:42" ht="14.25" customHeight="1"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</row>
    <row r="451" spans="20:42" ht="14.25" customHeight="1"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</row>
    <row r="452" spans="20:42" ht="14.25" customHeight="1"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</row>
    <row r="453" spans="20:42" ht="14.25" customHeight="1"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</row>
    <row r="454" spans="20:42" ht="14.25" customHeight="1"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</row>
    <row r="455" spans="20:42" ht="14.25" customHeight="1"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</row>
    <row r="456" spans="20:42" ht="14.25" customHeight="1"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</row>
    <row r="457" spans="20:42" ht="14.25" customHeight="1"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</row>
    <row r="458" spans="20:42" ht="14.25" customHeight="1"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</row>
    <row r="459" spans="20:42" ht="14.25" customHeight="1"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</row>
    <row r="460" spans="20:42" ht="14.25" customHeight="1"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</row>
    <row r="461" spans="20:42" ht="14.25" customHeight="1"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</row>
    <row r="462" spans="20:42" ht="14.25" customHeight="1"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</row>
    <row r="463" spans="20:42" ht="14.25" customHeight="1"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</row>
    <row r="464" spans="20:42" ht="14.25" customHeight="1"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</row>
    <row r="465" spans="20:42" ht="14.25" customHeight="1"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</row>
    <row r="466" spans="20:42" ht="14.25" customHeight="1"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</row>
    <row r="467" spans="20:42" ht="14.25" customHeight="1"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</row>
    <row r="468" spans="20:42" ht="14.25" customHeight="1"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</row>
    <row r="469" spans="20:42" ht="14.25" customHeight="1"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</row>
    <row r="470" spans="20:42" ht="14.25" customHeight="1"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</row>
    <row r="471" spans="20:42" ht="14.25" customHeight="1"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</row>
    <row r="472" spans="20:42" ht="14.25" customHeight="1"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</row>
    <row r="473" spans="20:42" ht="14.25" customHeight="1"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</row>
    <row r="474" spans="20:42" ht="14.25" customHeight="1"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</row>
    <row r="475" spans="20:42" ht="14.25" customHeight="1"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</row>
    <row r="476" spans="20:42" ht="14.25" customHeight="1"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</row>
    <row r="477" spans="20:42" ht="14.25" customHeight="1"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</row>
    <row r="478" spans="20:42" ht="14.25" customHeight="1"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</row>
    <row r="479" spans="20:42" ht="14.25" customHeight="1"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</row>
    <row r="480" spans="20:42" ht="14.25" customHeight="1"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</row>
    <row r="481" spans="20:42" ht="14.25" customHeight="1"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</row>
    <row r="482" spans="20:42" ht="14.25" customHeight="1"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</row>
    <row r="483" spans="20:42" ht="14.25" customHeight="1"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</row>
    <row r="484" spans="20:42" ht="14.25" customHeight="1"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</row>
    <row r="485" spans="20:42" ht="14.25" customHeight="1"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</row>
    <row r="486" spans="20:42" ht="14.25" customHeight="1"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</row>
    <row r="487" spans="20:42" ht="14.25" customHeight="1"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</row>
    <row r="488" spans="20:42" ht="14.25" customHeight="1"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</row>
    <row r="489" spans="20:42" ht="14.25" customHeight="1"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</row>
    <row r="490" spans="20:42" ht="14.25" customHeight="1"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</row>
    <row r="491" spans="20:42" ht="14.25" customHeight="1"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</row>
    <row r="492" spans="20:42" ht="14.25" customHeight="1"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</row>
    <row r="493" spans="20:42" ht="14.25" customHeight="1"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</row>
    <row r="494" spans="20:42" ht="14.25" customHeight="1"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</row>
    <row r="495" spans="20:42" ht="14.25" customHeight="1"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</row>
    <row r="496" spans="20:42" ht="14.25" customHeight="1"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</row>
    <row r="497" spans="20:42" ht="14.25" customHeight="1"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</row>
    <row r="498" spans="20:42" ht="14.25" customHeight="1"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</row>
    <row r="499" spans="20:42" ht="14.25" customHeight="1"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</row>
    <row r="500" spans="20:42" ht="14.25" customHeight="1"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</row>
    <row r="501" spans="20:42" ht="14.25" customHeight="1"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</row>
    <row r="502" spans="20:42" ht="14.25" customHeight="1"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</row>
    <row r="503" spans="20:42" ht="14.25" customHeight="1"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</row>
    <row r="504" spans="20:42" ht="14.25" customHeight="1"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</row>
    <row r="505" spans="20:42" ht="14.25" customHeight="1"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</row>
    <row r="506" spans="20:42" ht="14.25" customHeight="1"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</row>
    <row r="507" spans="20:42" ht="14.25" customHeight="1"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</row>
    <row r="508" spans="20:42" ht="14.25" customHeight="1"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</row>
    <row r="509" spans="20:42" ht="14.25" customHeight="1"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</row>
    <row r="510" spans="20:42" ht="14.25" customHeight="1"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</row>
    <row r="511" spans="20:42" ht="14.25" customHeight="1"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</row>
    <row r="512" spans="20:42" ht="14.25" customHeight="1"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</row>
    <row r="513" spans="20:42" ht="14.25" customHeight="1"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</row>
    <row r="514" spans="20:42" ht="14.25" customHeight="1"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</row>
    <row r="515" spans="20:42" ht="14.25" customHeight="1"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</row>
    <row r="516" spans="20:42" ht="14.25" customHeight="1"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</row>
    <row r="517" spans="20:42" ht="14.25" customHeight="1"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</row>
    <row r="518" spans="20:42" ht="14.25" customHeight="1"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</row>
    <row r="519" spans="20:42" ht="14.25" customHeight="1"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</row>
    <row r="520" spans="20:42" ht="14.25" customHeight="1"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</row>
    <row r="521" spans="20:42" ht="14.25" customHeight="1"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</row>
    <row r="522" spans="20:42" ht="14.25" customHeight="1"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</row>
    <row r="523" spans="20:42" ht="14.25" customHeight="1"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</row>
    <row r="524" spans="20:42" ht="14.25" customHeight="1"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</row>
    <row r="525" spans="20:42" ht="14.25" customHeight="1"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</row>
    <row r="526" spans="20:42" ht="14.25" customHeight="1"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</row>
    <row r="527" spans="20:42" ht="14.25" customHeight="1"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</row>
    <row r="528" spans="20:42" ht="14.25" customHeight="1"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</row>
    <row r="529" spans="20:42" ht="14.25" customHeight="1"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</row>
    <row r="530" spans="20:42" ht="14.25" customHeight="1"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</row>
    <row r="531" spans="20:42" ht="14.25" customHeight="1"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</row>
    <row r="532" spans="20:42" ht="14.25" customHeight="1"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</row>
    <row r="533" spans="20:42" ht="14.25" customHeight="1"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</row>
    <row r="534" spans="20:42" ht="14.25" customHeight="1"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</row>
    <row r="535" spans="20:42" ht="14.25" customHeight="1"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</row>
    <row r="536" spans="20:42" ht="14.25" customHeight="1"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</row>
    <row r="537" spans="20:42" ht="14.25" customHeight="1"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</row>
    <row r="538" spans="20:42" ht="14.25" customHeight="1"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</row>
    <row r="539" spans="20:42" ht="14.25" customHeight="1"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</row>
    <row r="540" spans="20:42" ht="14.25" customHeight="1"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</row>
    <row r="541" spans="20:42" ht="14.25" customHeight="1"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</row>
    <row r="542" spans="20:42" ht="14.25" customHeight="1"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</row>
    <row r="543" spans="20:42" ht="14.25" customHeight="1"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</row>
    <row r="544" spans="20:42" ht="14.25" customHeight="1"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</row>
    <row r="545" spans="20:42" ht="14.25" customHeight="1"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</row>
    <row r="546" spans="20:42" ht="14.25" customHeight="1"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</row>
    <row r="547" spans="20:42" ht="14.25" customHeight="1"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</row>
    <row r="548" spans="20:42" ht="14.25" customHeight="1"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</row>
    <row r="549" spans="20:42" ht="14.25" customHeight="1"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</row>
    <row r="550" spans="20:42" ht="14.25" customHeight="1"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</row>
    <row r="551" spans="20:42" ht="14.25" customHeight="1"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</row>
    <row r="552" spans="20:42" ht="14.25" customHeight="1"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</row>
    <row r="553" spans="20:42" ht="14.25" customHeight="1"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</row>
    <row r="554" spans="20:42" ht="14.25" customHeight="1"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</row>
    <row r="555" spans="20:42" ht="14.25" customHeight="1"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</row>
    <row r="556" spans="20:42" ht="14.25" customHeight="1"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</row>
    <row r="557" spans="20:42" ht="14.25" customHeight="1"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</row>
    <row r="558" spans="20:42" ht="14.25" customHeight="1"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</row>
    <row r="559" spans="20:42" ht="14.25" customHeight="1"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</row>
    <row r="560" spans="20:42" ht="14.25" customHeight="1"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</row>
    <row r="561" spans="20:42" ht="14.25" customHeight="1"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</row>
    <row r="562" spans="20:42" ht="14.25" customHeight="1"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</row>
    <row r="563" spans="20:42" ht="14.25" customHeight="1"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</row>
    <row r="564" spans="20:42" ht="14.25" customHeight="1"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</row>
    <row r="565" spans="20:42" ht="14.25" customHeight="1"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</row>
    <row r="566" spans="20:42" ht="14.25" customHeight="1"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</row>
    <row r="567" spans="20:42" ht="14.25" customHeight="1"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</row>
    <row r="568" spans="20:42" ht="14.25" customHeight="1"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</row>
    <row r="569" spans="20:42" ht="14.25" customHeight="1"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</row>
    <row r="570" spans="20:42" ht="14.25" customHeight="1"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</row>
    <row r="571" spans="20:42" ht="14.25" customHeight="1"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</row>
    <row r="572" spans="20:42" ht="14.25" customHeight="1"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</row>
    <row r="573" spans="20:42" ht="14.25" customHeight="1"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</row>
    <row r="574" spans="20:42" ht="14.25" customHeight="1"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</row>
    <row r="575" spans="20:42" ht="14.25" customHeight="1"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</row>
    <row r="576" spans="20:42" ht="14.25" customHeight="1"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</row>
    <row r="577" spans="20:42" ht="14.25" customHeight="1"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</row>
    <row r="578" spans="20:42" ht="14.25" customHeight="1"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</row>
    <row r="579" spans="20:42" ht="14.25" customHeight="1"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</row>
    <row r="580" spans="20:42" ht="14.25" customHeight="1"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</row>
    <row r="581" spans="20:42" ht="14.25" customHeight="1"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</row>
    <row r="582" spans="20:42" ht="14.25" customHeight="1"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</row>
    <row r="583" spans="20:42" ht="14.25" customHeight="1"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</row>
    <row r="584" spans="20:42" ht="14.25" customHeight="1"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</row>
    <row r="585" spans="20:42" ht="14.25" customHeight="1"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</row>
    <row r="586" spans="20:42" ht="14.25" customHeight="1"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</row>
    <row r="587" spans="20:42" ht="14.25" customHeight="1"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</row>
    <row r="588" spans="20:42" ht="14.25" customHeight="1"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</row>
    <row r="589" spans="20:42" ht="14.25" customHeight="1"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</row>
    <row r="590" spans="20:42" ht="14.25" customHeight="1"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</row>
    <row r="591" spans="20:42" ht="14.25" customHeight="1"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</row>
    <row r="592" spans="20:42" ht="14.25" customHeight="1"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</row>
    <row r="593" spans="20:42" ht="14.25" customHeight="1"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</row>
    <row r="594" spans="20:42" ht="14.25" customHeight="1"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</row>
    <row r="595" spans="20:42" ht="14.25" customHeight="1"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</row>
    <row r="596" spans="20:42" ht="14.25" customHeight="1"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</row>
    <row r="597" spans="20:42" ht="14.25" customHeight="1"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</row>
    <row r="598" spans="20:42" ht="14.25" customHeight="1"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</row>
    <row r="599" spans="20:42" ht="14.25" customHeight="1"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</row>
    <row r="600" spans="20:42" ht="14.25" customHeight="1"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</row>
    <row r="601" spans="20:42" ht="14.25" customHeight="1"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</row>
    <row r="602" spans="20:42" ht="14.25" customHeight="1"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</row>
    <row r="603" spans="20:42" ht="14.25" customHeight="1"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</row>
    <row r="604" spans="20:42" ht="14.25" customHeight="1"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</row>
    <row r="605" spans="20:42" ht="14.25" customHeight="1"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</row>
    <row r="606" spans="20:42" ht="14.25" customHeight="1"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</row>
    <row r="607" spans="20:42" ht="14.25" customHeight="1"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</row>
    <row r="608" spans="20:42" ht="14.25" customHeight="1"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</row>
    <row r="609" spans="20:42" ht="14.25" customHeight="1"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</row>
    <row r="610" spans="20:42" ht="14.25" customHeight="1"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</row>
    <row r="611" spans="20:42" ht="14.25" customHeight="1"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</row>
    <row r="612" spans="20:42" ht="14.25" customHeight="1"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</row>
    <row r="613" spans="20:42" ht="14.25" customHeight="1"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</row>
    <row r="614" spans="20:42" ht="14.25" customHeight="1"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</row>
    <row r="615" spans="20:42" ht="14.25" customHeight="1"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</row>
    <row r="616" spans="20:42" ht="14.25" customHeight="1"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</row>
    <row r="617" spans="20:42" ht="14.25" customHeight="1"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</row>
    <row r="618" spans="20:42" ht="14.25" customHeight="1"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</row>
    <row r="619" spans="20:42" ht="14.25" customHeight="1"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</row>
    <row r="620" spans="20:42" ht="14.25" customHeight="1"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</row>
    <row r="621" spans="20:42" ht="14.25" customHeight="1"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</row>
    <row r="622" spans="20:42" ht="14.25" customHeight="1"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</row>
    <row r="623" spans="20:42" ht="14.25" customHeight="1"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</row>
    <row r="624" spans="20:42" ht="14.25" customHeight="1"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</row>
    <row r="625" spans="20:42" ht="14.25" customHeight="1"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</row>
    <row r="626" spans="20:42" ht="14.25" customHeight="1"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</row>
    <row r="627" spans="20:42" ht="14.25" customHeight="1"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</row>
    <row r="628" spans="20:42" ht="14.25" customHeight="1"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</row>
    <row r="629" spans="20:42" ht="14.25" customHeight="1"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</row>
    <row r="630" spans="20:42" ht="14.25" customHeight="1"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</row>
    <row r="631" spans="20:42" ht="14.25" customHeight="1"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</row>
    <row r="632" spans="20:42" ht="14.25" customHeight="1"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</row>
    <row r="633" spans="20:42" ht="14.25" customHeight="1"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</row>
    <row r="634" spans="20:42" ht="14.25" customHeight="1"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</row>
    <row r="635" spans="20:42" ht="14.25" customHeight="1"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</row>
    <row r="636" spans="20:42" ht="14.25" customHeight="1"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</row>
    <row r="637" spans="20:42" ht="14.25" customHeight="1"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</row>
    <row r="638" spans="20:42" ht="14.25" customHeight="1"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</row>
    <row r="639" spans="20:42" ht="14.25" customHeight="1"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</row>
    <row r="640" spans="20:42" ht="14.25" customHeight="1"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</row>
    <row r="641" spans="20:42" ht="14.25" customHeight="1"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</row>
    <row r="642" spans="20:42" ht="14.25" customHeight="1"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</row>
    <row r="643" spans="20:42" ht="14.25" customHeight="1"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</row>
    <row r="644" spans="20:42" ht="14.25" customHeight="1"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</row>
    <row r="645" spans="20:42" ht="14.25" customHeight="1"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</row>
    <row r="646" spans="20:42" ht="14.25" customHeight="1"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</row>
    <row r="647" spans="20:42" ht="14.25" customHeight="1"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</row>
    <row r="648" spans="20:42" ht="14.25" customHeight="1"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</row>
    <row r="649" spans="20:42" ht="14.25" customHeight="1"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</row>
    <row r="650" spans="20:42" ht="14.25" customHeight="1"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</row>
    <row r="651" spans="20:42" ht="14.25" customHeight="1"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</row>
    <row r="652" spans="20:42" ht="14.25" customHeight="1"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</row>
    <row r="653" spans="20:42" ht="14.25" customHeight="1"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</row>
    <row r="654" spans="20:42" ht="14.25" customHeight="1"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</row>
    <row r="655" spans="20:42" ht="14.25" customHeight="1"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</row>
    <row r="656" spans="20:42" ht="14.25" customHeight="1"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</row>
    <row r="657" spans="20:42" ht="14.25" customHeight="1"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</row>
    <row r="658" spans="20:42" ht="14.25" customHeight="1"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</row>
    <row r="659" spans="20:42" ht="14.25" customHeight="1"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</row>
    <row r="660" spans="20:42" ht="14.25" customHeight="1"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</row>
    <row r="661" spans="20:42" ht="14.25" customHeight="1"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</row>
    <row r="662" spans="20:42" ht="14.25" customHeight="1"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</row>
    <row r="663" spans="20:42" ht="14.25" customHeight="1"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</row>
    <row r="664" spans="20:42" ht="14.25" customHeight="1"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</row>
    <row r="665" spans="20:42" ht="14.25" customHeight="1"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</row>
    <row r="666" spans="20:42" ht="14.25" customHeight="1"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</row>
    <row r="667" spans="20:42" ht="14.25" customHeight="1"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</row>
    <row r="668" spans="20:42" ht="14.25" customHeight="1"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</row>
    <row r="669" spans="20:42" ht="14.25" customHeight="1"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</row>
    <row r="670" spans="20:42" ht="14.25" customHeight="1"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</row>
    <row r="671" spans="20:42" ht="14.25" customHeight="1"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</row>
    <row r="672" spans="20:42" ht="14.25" customHeight="1"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</row>
    <row r="673" spans="20:42" ht="14.25" customHeight="1"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</row>
    <row r="674" spans="20:42" ht="14.25" customHeight="1"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</row>
    <row r="675" spans="20:42" ht="14.25" customHeight="1"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</row>
    <row r="676" spans="20:42" ht="14.25" customHeight="1"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</row>
    <row r="677" spans="20:42" ht="14.25" customHeight="1"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</row>
    <row r="678" spans="20:42" ht="14.25" customHeight="1"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</row>
    <row r="679" spans="20:42" ht="14.25" customHeight="1"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</row>
    <row r="680" spans="20:42" ht="14.25" customHeight="1"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</row>
    <row r="681" spans="20:42" ht="14.25" customHeight="1"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</row>
    <row r="682" spans="20:42" ht="14.25" customHeight="1"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</row>
    <row r="683" spans="20:42" ht="14.25" customHeight="1"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</row>
    <row r="684" spans="20:42" ht="14.25" customHeight="1"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</row>
    <row r="685" spans="20:42" ht="14.25" customHeight="1"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</row>
    <row r="686" spans="20:42" ht="14.25" customHeight="1"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</row>
    <row r="687" spans="20:42" ht="14.25" customHeight="1"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</row>
    <row r="688" spans="20:42" ht="14.25" customHeight="1"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</row>
    <row r="689" spans="20:42" ht="14.25" customHeight="1"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</row>
    <row r="690" spans="20:42" ht="14.25" customHeight="1"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</row>
    <row r="691" spans="20:42" ht="14.25" customHeight="1"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</row>
    <row r="692" spans="20:42" ht="14.25" customHeight="1"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</row>
    <row r="693" spans="20:42" ht="14.25" customHeight="1"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</row>
    <row r="694" spans="20:42" ht="14.25" customHeight="1"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</row>
    <row r="695" spans="20:42" ht="14.25" customHeight="1"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</row>
    <row r="696" spans="20:42" ht="14.25" customHeight="1"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</row>
    <row r="697" spans="20:42" ht="14.25" customHeight="1"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</row>
    <row r="698" spans="20:42" ht="14.25" customHeight="1"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</row>
    <row r="699" spans="20:42" ht="14.25" customHeight="1"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</row>
    <row r="700" spans="20:42" ht="14.25" customHeight="1"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</row>
    <row r="701" spans="20:42" ht="14.25" customHeight="1"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</row>
    <row r="702" spans="20:42" ht="14.25" customHeight="1"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</row>
    <row r="703" spans="20:42" ht="14.25" customHeight="1"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</row>
    <row r="704" spans="20:42" ht="14.25" customHeight="1"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</row>
    <row r="705" spans="20:42" ht="14.25" customHeight="1"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</row>
    <row r="706" spans="20:42" ht="14.25" customHeight="1"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</row>
    <row r="707" spans="20:42" ht="14.25" customHeight="1"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</row>
    <row r="708" spans="20:42" ht="14.25" customHeight="1"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</row>
    <row r="709" spans="20:42" ht="14.25" customHeight="1"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</row>
    <row r="710" spans="20:42" ht="14.25" customHeight="1"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</row>
    <row r="711" spans="20:42" ht="14.25" customHeight="1"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</row>
    <row r="712" spans="20:42" ht="14.25" customHeight="1"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</row>
    <row r="713" spans="20:42" ht="14.25" customHeight="1"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</row>
    <row r="714" spans="20:42" ht="14.25" customHeight="1"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</row>
    <row r="715" spans="20:42" ht="14.25" customHeight="1"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</row>
    <row r="716" spans="20:42" ht="14.25" customHeight="1"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</row>
    <row r="717" spans="20:42" ht="14.25" customHeight="1"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</row>
    <row r="718" spans="20:42" ht="14.25" customHeight="1"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</row>
    <row r="719" spans="20:42" ht="14.25" customHeight="1"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</row>
    <row r="720" spans="20:42" ht="14.25" customHeight="1"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</row>
    <row r="721" spans="20:42" ht="14.25" customHeight="1"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</row>
    <row r="722" spans="20:42" ht="14.25" customHeight="1"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</row>
    <row r="723" spans="20:42" ht="14.25" customHeight="1"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</row>
    <row r="724" spans="20:42" ht="14.25" customHeight="1"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</row>
    <row r="725" spans="20:42" ht="14.25" customHeight="1"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</row>
    <row r="726" spans="20:42" ht="14.25" customHeight="1"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</row>
    <row r="727" spans="20:42" ht="14.25" customHeight="1"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</row>
    <row r="728" spans="20:42" ht="14.25" customHeight="1"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</row>
    <row r="729" spans="20:42" ht="14.25" customHeight="1"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</row>
    <row r="730" spans="20:42" ht="14.25" customHeight="1"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</row>
    <row r="731" spans="20:42" ht="14.25" customHeight="1"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</row>
    <row r="732" spans="20:42" ht="14.25" customHeight="1"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</row>
    <row r="733" spans="20:42" ht="14.25" customHeight="1"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</row>
    <row r="734" spans="20:42" ht="14.25" customHeight="1"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</row>
    <row r="735" spans="20:42" ht="14.25" customHeight="1"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</row>
    <row r="736" spans="20:42" ht="14.25" customHeight="1"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</row>
    <row r="737" spans="20:42" ht="14.25" customHeight="1"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</row>
    <row r="738" spans="20:42" ht="14.25" customHeight="1"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</row>
    <row r="739" spans="20:42" ht="14.25" customHeight="1"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</row>
    <row r="740" spans="20:42" ht="14.25" customHeight="1"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</row>
    <row r="741" spans="20:42" ht="14.25" customHeight="1"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</row>
    <row r="742" spans="20:42" ht="14.25" customHeight="1"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</row>
    <row r="743" spans="20:42" ht="14.25" customHeight="1"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</row>
    <row r="744" spans="20:42" ht="14.25" customHeight="1"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</row>
    <row r="745" spans="20:42" ht="14.25" customHeight="1"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</row>
    <row r="746" spans="20:42" ht="14.25" customHeight="1"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</row>
    <row r="747" spans="20:42" ht="14.25" customHeight="1"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</row>
    <row r="748" spans="20:42" ht="14.25" customHeight="1"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</row>
    <row r="749" spans="20:42" ht="14.25" customHeight="1"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</row>
    <row r="750" spans="20:42" ht="14.25" customHeight="1"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</row>
    <row r="751" spans="20:42" ht="14.25" customHeight="1"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</row>
    <row r="752" spans="20:42" ht="14.25" customHeight="1"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</row>
    <row r="753" spans="20:42" ht="14.25" customHeight="1"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</row>
    <row r="754" spans="20:42" ht="14.25" customHeight="1"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</row>
    <row r="755" spans="20:42" ht="14.25" customHeight="1"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</row>
    <row r="756" spans="20:42" ht="14.25" customHeight="1"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</row>
    <row r="757" spans="20:42" ht="14.25" customHeight="1"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</row>
    <row r="758" spans="20:42" ht="14.25" customHeight="1"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</row>
    <row r="759" spans="20:42" ht="14.25" customHeight="1"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</row>
    <row r="760" spans="20:42" ht="14.25" customHeight="1"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</row>
    <row r="761" spans="20:42" ht="14.25" customHeight="1"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</row>
    <row r="762" spans="20:42" ht="14.25" customHeight="1"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</row>
    <row r="763" spans="20:42" ht="14.25" customHeight="1"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</row>
    <row r="764" spans="20:42" ht="14.25" customHeight="1"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</row>
    <row r="765" spans="20:42" ht="14.25" customHeight="1"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</row>
    <row r="766" spans="20:42" ht="14.25" customHeight="1"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</row>
    <row r="767" spans="20:42" ht="14.25" customHeight="1"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</row>
    <row r="768" spans="20:42" ht="14.25" customHeight="1"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</row>
    <row r="769" spans="20:42" ht="14.25" customHeight="1"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</row>
    <row r="770" spans="20:42" ht="14.25" customHeight="1"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</row>
    <row r="771" spans="20:42" ht="14.25" customHeight="1"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</row>
    <row r="772" spans="20:42" ht="14.25" customHeight="1"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</row>
    <row r="773" spans="20:42" ht="14.25" customHeight="1"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</row>
    <row r="774" spans="20:42" ht="14.25" customHeight="1"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</row>
    <row r="775" spans="20:42" ht="14.25" customHeight="1"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</row>
    <row r="776" spans="20:42" ht="14.25" customHeight="1"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</row>
    <row r="777" spans="20:42" ht="14.25" customHeight="1"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</row>
    <row r="778" spans="20:42" ht="14.25" customHeight="1"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</row>
    <row r="779" spans="20:42" ht="14.25" customHeight="1"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</row>
    <row r="780" spans="20:42" ht="14.25" customHeight="1"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</row>
    <row r="781" spans="20:42" ht="14.25" customHeight="1"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</row>
    <row r="782" spans="20:42" ht="14.25" customHeight="1"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</row>
    <row r="783" spans="20:42" ht="14.25" customHeight="1"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</row>
    <row r="784" spans="20:42" ht="14.25" customHeight="1"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</row>
    <row r="785" spans="20:42" ht="14.25" customHeight="1"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</row>
    <row r="786" spans="20:42" ht="14.25" customHeight="1"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</row>
    <row r="787" spans="20:42" ht="14.25" customHeight="1"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</row>
    <row r="788" spans="20:42" ht="14.25" customHeight="1"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</row>
    <row r="789" spans="20:42" ht="14.25" customHeight="1"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</row>
    <row r="790" spans="20:42" ht="14.25" customHeight="1"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</row>
    <row r="791" spans="20:42" ht="14.25" customHeight="1"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</row>
    <row r="792" spans="20:42" ht="14.25" customHeight="1"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</row>
    <row r="793" spans="20:42" ht="14.25" customHeight="1"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</row>
    <row r="794" spans="20:42" ht="14.25" customHeight="1"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</row>
    <row r="795" spans="20:42" ht="14.25" customHeight="1"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</row>
    <row r="796" spans="20:42" ht="14.25" customHeight="1"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</row>
    <row r="797" spans="20:42" ht="14.25" customHeight="1"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</row>
    <row r="798" spans="20:42" ht="14.25" customHeight="1"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</row>
    <row r="799" spans="20:42" ht="14.25" customHeight="1"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</row>
    <row r="800" spans="20:42" ht="14.25" customHeight="1"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</row>
    <row r="801" spans="20:42" ht="14.25" customHeight="1"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</row>
    <row r="802" spans="20:42" ht="14.25" customHeight="1"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</row>
    <row r="803" spans="20:42" ht="14.25" customHeight="1"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</row>
    <row r="804" spans="20:42" ht="14.25" customHeight="1"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</row>
    <row r="805" spans="20:42" ht="14.25" customHeight="1"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</row>
    <row r="806" spans="20:42" ht="14.25" customHeight="1"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</row>
    <row r="807" spans="20:42" ht="14.25" customHeight="1"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</row>
    <row r="808" spans="20:42" ht="14.25" customHeight="1"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</row>
    <row r="809" spans="20:42" ht="14.25" customHeight="1"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</row>
    <row r="810" spans="20:42" ht="14.25" customHeight="1"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</row>
    <row r="811" spans="20:42" ht="14.25" customHeight="1"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</row>
    <row r="812" spans="20:42" ht="14.25" customHeight="1"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</row>
    <row r="813" spans="20:42" ht="14.25" customHeight="1"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</row>
    <row r="814" spans="20:42" ht="14.25" customHeight="1"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</row>
    <row r="815" spans="20:42" ht="14.25" customHeight="1"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</row>
    <row r="816" spans="20:42" ht="14.25" customHeight="1"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</row>
    <row r="817" spans="20:42" ht="14.25" customHeight="1"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</row>
    <row r="818" spans="20:42" ht="14.25" customHeight="1"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</row>
    <row r="819" spans="20:42" ht="14.25" customHeight="1"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</row>
    <row r="820" spans="20:42" ht="14.25" customHeight="1"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</row>
    <row r="821" spans="20:42" ht="14.25" customHeight="1"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</row>
    <row r="822" spans="20:42" ht="14.25" customHeight="1"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</row>
    <row r="823" spans="20:42" ht="14.25" customHeight="1"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</row>
    <row r="824" spans="20:42" ht="14.25" customHeight="1"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</row>
    <row r="825" spans="20:42" ht="14.25" customHeight="1"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</row>
    <row r="826" spans="20:42" ht="14.25" customHeight="1"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</row>
    <row r="827" spans="20:42" ht="14.25" customHeight="1"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</row>
    <row r="828" spans="20:42" ht="14.25" customHeight="1"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</row>
    <row r="829" spans="20:42" ht="14.25" customHeight="1"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</row>
    <row r="830" spans="20:42" ht="14.25" customHeight="1"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</row>
    <row r="831" spans="20:42" ht="14.25" customHeight="1"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</row>
    <row r="832" spans="20:42" ht="14.25" customHeight="1"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</row>
    <row r="833" spans="20:42" ht="14.25" customHeight="1"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</row>
    <row r="834" spans="20:42" ht="14.25" customHeight="1"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</row>
    <row r="835" spans="20:42" ht="14.25" customHeight="1"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</row>
    <row r="836" spans="20:42" ht="14.25" customHeight="1"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</row>
    <row r="837" spans="20:42" ht="14.25" customHeight="1"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</row>
    <row r="838" spans="20:42" ht="14.25" customHeight="1"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</row>
    <row r="839" spans="20:42" ht="14.25" customHeight="1"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</row>
    <row r="840" spans="20:42" ht="14.25" customHeight="1"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</row>
    <row r="841" spans="20:42" ht="14.25" customHeight="1"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</row>
    <row r="842" spans="20:42" ht="14.25" customHeight="1"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</row>
    <row r="843" spans="20:42" ht="14.25" customHeight="1"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</row>
    <row r="844" spans="20:42" ht="14.25" customHeight="1"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</row>
    <row r="845" spans="20:42" ht="14.25" customHeight="1"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</row>
    <row r="846" spans="20:42" ht="14.25" customHeight="1"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</row>
    <row r="847" spans="20:42" ht="14.25" customHeight="1"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</row>
    <row r="848" spans="20:42" ht="14.25" customHeight="1"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</row>
    <row r="849" spans="20:42" ht="14.25" customHeight="1"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</row>
    <row r="850" spans="20:42" ht="14.25" customHeight="1"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</row>
    <row r="851" spans="20:42" ht="14.25" customHeight="1"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</row>
    <row r="852" spans="20:42" ht="14.25" customHeight="1"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</row>
    <row r="853" spans="20:42" ht="14.25" customHeight="1"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</row>
    <row r="854" spans="20:42" ht="14.25" customHeight="1"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</row>
    <row r="855" spans="20:42" ht="14.25" customHeight="1"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</row>
    <row r="856" spans="20:42" ht="14.25" customHeight="1"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</row>
    <row r="857" spans="20:42" ht="14.25" customHeight="1"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</row>
    <row r="858" spans="20:42" ht="14.25" customHeight="1"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</row>
    <row r="859" spans="20:42" ht="14.25" customHeight="1"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</row>
    <row r="860" spans="20:42" ht="14.25" customHeight="1"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</row>
    <row r="861" spans="20:42" ht="14.25" customHeight="1"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</row>
    <row r="862" spans="20:42" ht="14.25" customHeight="1"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</row>
    <row r="863" spans="20:42" ht="14.25" customHeight="1"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</row>
    <row r="864" spans="20:42" ht="14.25" customHeight="1"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</row>
    <row r="865" spans="20:42" ht="14.25" customHeight="1"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</row>
    <row r="866" spans="20:42" ht="14.25" customHeight="1"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</row>
    <row r="867" spans="20:42" ht="14.25" customHeight="1"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</row>
    <row r="868" spans="20:42" ht="14.25" customHeight="1"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</row>
    <row r="869" spans="20:42" ht="14.25" customHeight="1"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</row>
    <row r="870" spans="20:42" ht="14.25" customHeight="1"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</row>
    <row r="871" spans="20:42" ht="14.25" customHeight="1"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</row>
    <row r="872" spans="20:42" ht="14.25" customHeight="1"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</row>
    <row r="873" spans="20:42" ht="14.25" customHeight="1"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</row>
    <row r="874" spans="20:42" ht="14.25" customHeight="1"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</row>
    <row r="875" spans="20:42" ht="14.25" customHeight="1"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</row>
    <row r="876" spans="20:42" ht="14.25" customHeight="1"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</row>
    <row r="877" spans="20:42" ht="14.25" customHeight="1"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</row>
    <row r="878" spans="20:42" ht="14.25" customHeight="1"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</row>
    <row r="879" spans="20:42" ht="14.25" customHeight="1"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</row>
    <row r="880" spans="20:42" ht="14.25" customHeight="1"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</row>
    <row r="881" spans="20:42" ht="14.25" customHeight="1"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</row>
    <row r="882" spans="20:42" ht="14.25" customHeight="1"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</row>
    <row r="883" spans="20:42" ht="14.25" customHeight="1"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</row>
    <row r="884" spans="20:42" ht="14.25" customHeight="1"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</row>
    <row r="885" spans="20:42" ht="14.25" customHeight="1"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</row>
    <row r="886" spans="20:42" ht="14.25" customHeight="1"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</row>
    <row r="887" spans="20:42" ht="14.25" customHeight="1"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</row>
    <row r="888" spans="20:42" ht="14.25" customHeight="1"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</row>
    <row r="889" spans="20:42" ht="14.25" customHeight="1"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</row>
    <row r="890" spans="20:42" ht="14.25" customHeight="1"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</row>
    <row r="891" spans="20:42" ht="14.25" customHeight="1"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</row>
    <row r="892" spans="20:42" ht="14.25" customHeight="1"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</row>
    <row r="893" spans="20:42" ht="14.25" customHeight="1"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</row>
    <row r="894" spans="20:42" ht="14.25" customHeight="1"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</row>
    <row r="895" spans="20:42" ht="14.25" customHeight="1"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</row>
    <row r="896" spans="20:42" ht="14.25" customHeight="1"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</row>
    <row r="897" spans="20:42" ht="14.25" customHeight="1"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</row>
    <row r="898" spans="20:42" ht="14.25" customHeight="1"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</row>
    <row r="899" spans="20:42" ht="14.25" customHeight="1"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</row>
    <row r="900" spans="20:42" ht="14.25" customHeight="1"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</row>
    <row r="901" spans="20:42" ht="14.25" customHeight="1"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</row>
    <row r="902" spans="20:42" ht="14.25" customHeight="1"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</row>
    <row r="903" spans="20:42" ht="14.25" customHeight="1"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</row>
    <row r="904" spans="20:42" ht="14.25" customHeight="1"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</row>
    <row r="905" spans="20:42" ht="14.25" customHeight="1"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</row>
    <row r="906" spans="20:42" ht="14.25" customHeight="1"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</row>
    <row r="907" spans="20:42" ht="14.25" customHeight="1"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</row>
    <row r="908" spans="20:42" ht="14.25" customHeight="1"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</row>
    <row r="909" spans="20:42" ht="14.25" customHeight="1"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</row>
    <row r="910" spans="20:42" ht="14.25" customHeight="1"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</row>
    <row r="911" spans="20:42" ht="14.25" customHeight="1"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</row>
    <row r="912" spans="20:42" ht="14.25" customHeight="1"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</row>
    <row r="913" spans="20:42" ht="14.25" customHeight="1"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</row>
    <row r="914" spans="20:42" ht="14.25" customHeight="1"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</row>
    <row r="915" spans="20:42" ht="14.25" customHeight="1"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</row>
    <row r="916" spans="20:42" ht="14.25" customHeight="1"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</row>
    <row r="917" spans="20:42" ht="14.25" customHeight="1"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</row>
    <row r="918" spans="20:42" ht="14.25" customHeight="1"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</row>
    <row r="919" spans="20:42" ht="14.25" customHeight="1"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</row>
    <row r="920" spans="20:42" ht="14.25" customHeight="1"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</row>
    <row r="921" spans="20:42" ht="14.25" customHeight="1"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</row>
    <row r="922" spans="20:42" ht="14.25" customHeight="1"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</row>
    <row r="923" spans="20:42" ht="14.25" customHeight="1"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</row>
    <row r="924" spans="20:42" ht="14.25" customHeight="1"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</row>
    <row r="925" spans="20:42" ht="14.25" customHeight="1"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</row>
    <row r="926" spans="20:42" ht="14.25" customHeight="1"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</row>
    <row r="927" spans="20:42" ht="14.25" customHeight="1"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</row>
    <row r="928" spans="20:42" ht="14.25" customHeight="1"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</row>
    <row r="929" spans="20:42" ht="14.25" customHeight="1"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</row>
    <row r="930" spans="20:42" ht="14.25" customHeight="1"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</row>
    <row r="931" spans="20:42" ht="14.25" customHeight="1"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</row>
    <row r="932" spans="20:42" ht="14.25" customHeight="1"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</row>
    <row r="933" spans="20:42" ht="14.25" customHeight="1"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</row>
    <row r="934" spans="20:42" ht="14.25" customHeight="1"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</row>
    <row r="935" spans="20:42" ht="14.25" customHeight="1"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</row>
    <row r="936" spans="20:42" ht="14.25" customHeight="1"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</row>
    <row r="937" spans="20:42" ht="14.25" customHeight="1"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</row>
    <row r="938" spans="20:42" ht="14.25" customHeight="1"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</row>
    <row r="939" spans="20:42" ht="14.25" customHeight="1"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</row>
    <row r="940" spans="20:42" ht="14.25" customHeight="1"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</row>
    <row r="941" spans="20:42" ht="14.25" customHeight="1"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</row>
    <row r="942" spans="20:42" ht="14.25" customHeight="1"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</row>
    <row r="943" spans="20:42" ht="14.25" customHeight="1"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</row>
    <row r="944" spans="20:42" ht="14.25" customHeight="1"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</row>
    <row r="945" spans="20:42" ht="14.25" customHeight="1"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</row>
    <row r="946" spans="20:42" ht="14.25" customHeight="1"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</row>
    <row r="947" spans="20:42" ht="14.25" customHeight="1"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</row>
    <row r="948" spans="20:42" ht="14.25" customHeight="1"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</row>
    <row r="949" spans="20:42" ht="14.25" customHeight="1"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</row>
    <row r="950" spans="20:42" ht="14.25" customHeight="1"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</row>
    <row r="951" spans="20:42" ht="14.25" customHeight="1"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</row>
    <row r="952" spans="20:42" ht="14.25" customHeight="1"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</row>
    <row r="953" spans="20:42" ht="14.25" customHeight="1"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</row>
    <row r="954" spans="20:42" ht="14.25" customHeight="1"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</row>
    <row r="955" spans="20:42" ht="14.25" customHeight="1"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</row>
    <row r="956" spans="20:42" ht="14.25" customHeight="1"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</row>
    <row r="957" spans="20:42" ht="14.25" customHeight="1"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</row>
    <row r="958" spans="20:42" ht="14.25" customHeight="1"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</row>
    <row r="959" spans="20:42" ht="14.25" customHeight="1"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</row>
    <row r="960" spans="20:42" ht="14.25" customHeight="1"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</row>
    <row r="961" spans="20:42" ht="14.25" customHeight="1"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</row>
    <row r="962" spans="20:42" ht="14.25" customHeight="1"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</row>
    <row r="963" spans="20:42" ht="14.25" customHeight="1"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</row>
    <row r="964" spans="20:42" ht="14.25" customHeight="1"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</row>
    <row r="965" spans="20:42" ht="14.25" customHeight="1"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</row>
    <row r="966" spans="20:42" ht="14.25" customHeight="1"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</row>
    <row r="967" spans="20:42" ht="14.25" customHeight="1"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</row>
    <row r="968" spans="20:42" ht="14.25" customHeight="1"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</row>
    <row r="969" spans="20:42" ht="14.25" customHeight="1"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</row>
    <row r="970" spans="20:42" ht="14.25" customHeight="1"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</row>
    <row r="971" spans="20:42" ht="14.25" customHeight="1"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</row>
    <row r="972" spans="20:42" ht="14.25" customHeight="1"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</row>
    <row r="973" spans="20:42" ht="14.25" customHeight="1"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</row>
    <row r="974" spans="20:42" ht="14.25" customHeight="1"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</row>
    <row r="975" spans="20:42" ht="14.25" customHeight="1"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</row>
    <row r="976" spans="20:42" ht="14.25" customHeight="1"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</row>
    <row r="977" spans="20:42" ht="14.25" customHeight="1"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</row>
    <row r="978" spans="20:42" ht="14.25" customHeight="1"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</row>
    <row r="979" spans="20:42" ht="14.25" customHeight="1"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</row>
    <row r="980" spans="20:42" ht="14.25" customHeight="1"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</row>
    <row r="981" spans="20:42" ht="14.25" customHeight="1"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</row>
    <row r="982" spans="20:42" ht="14.25" customHeight="1"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</row>
    <row r="983" spans="20:42" ht="14.25" customHeight="1"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</row>
    <row r="984" spans="20:42" ht="14.25" customHeight="1"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</row>
    <row r="985" spans="20:42" ht="14.25" customHeight="1"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</row>
    <row r="986" spans="20:42" ht="14.25" customHeight="1"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</row>
    <row r="987" spans="20:42" ht="14.25" customHeight="1"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</row>
    <row r="988" spans="20:42" ht="14.25" customHeight="1"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</row>
    <row r="989" spans="20:42" ht="14.25" customHeight="1"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</row>
    <row r="990" spans="20:42" ht="14.25" customHeight="1"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</row>
    <row r="991" spans="20:42" ht="14.25" customHeight="1"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</row>
    <row r="992" spans="20:42" ht="14.25" customHeight="1"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</row>
    <row r="993" spans="20:42" ht="14.25" customHeight="1"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</row>
    <row r="994" spans="20:42" ht="14.25" customHeight="1"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</row>
    <row r="995" spans="20:42" ht="14.25" customHeight="1"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</row>
    <row r="996" spans="20:42" ht="14.25" customHeight="1"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</row>
    <row r="997" spans="20:42" ht="14.25" customHeight="1"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</row>
    <row r="998" spans="20:42" ht="14.25" customHeight="1"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</row>
    <row r="999" spans="20:42" ht="14.25" customHeight="1"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</row>
    <row r="1000" spans="20:42" ht="14.25" customHeight="1"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</row>
  </sheetData>
  <mergeCells count="110">
    <mergeCell ref="AD39:AD40"/>
    <mergeCell ref="U41:U42"/>
    <mergeCell ref="AC41:AC42"/>
    <mergeCell ref="AB28:AB29"/>
    <mergeCell ref="AC28:AC29"/>
    <mergeCell ref="AJ28:AJ29"/>
    <mergeCell ref="AK28:AK29"/>
    <mergeCell ref="AC30:AC31"/>
    <mergeCell ref="AJ30:AJ31"/>
    <mergeCell ref="AK30:AK31"/>
    <mergeCell ref="AB30:AB31"/>
    <mergeCell ref="AB32:AB33"/>
    <mergeCell ref="AC32:AC33"/>
    <mergeCell ref="AJ36:AJ37"/>
    <mergeCell ref="AK36:AK37"/>
    <mergeCell ref="R45:R46"/>
    <mergeCell ref="AB45:AB46"/>
    <mergeCell ref="AC45:AC46"/>
    <mergeCell ref="AB34:AB35"/>
    <mergeCell ref="AC34:AC35"/>
    <mergeCell ref="AB36:AB37"/>
    <mergeCell ref="AC36:AC37"/>
    <mergeCell ref="AB41:AB42"/>
    <mergeCell ref="AB43:AB44"/>
    <mergeCell ref="T45:T46"/>
    <mergeCell ref="T53:T54"/>
    <mergeCell ref="AE61:AE65"/>
    <mergeCell ref="AF61:AF65"/>
    <mergeCell ref="AE71:AE74"/>
    <mergeCell ref="AF71:AF74"/>
    <mergeCell ref="AB47:AB48"/>
    <mergeCell ref="AC47:AC48"/>
    <mergeCell ref="AB49:AB50"/>
    <mergeCell ref="AC49:AC50"/>
    <mergeCell ref="AB51:AB52"/>
    <mergeCell ref="AC51:AC52"/>
    <mergeCell ref="AC61:AC65"/>
    <mergeCell ref="AC70:AC74"/>
    <mergeCell ref="T49:T50"/>
    <mergeCell ref="T47:T48"/>
    <mergeCell ref="P59:P63"/>
    <mergeCell ref="P67:P71"/>
    <mergeCell ref="P75:P79"/>
    <mergeCell ref="P83:P87"/>
    <mergeCell ref="P94:P98"/>
    <mergeCell ref="P102:P106"/>
    <mergeCell ref="P110:P114"/>
    <mergeCell ref="P118:P122"/>
    <mergeCell ref="Q49:Q50"/>
    <mergeCell ref="Q51:Q52"/>
    <mergeCell ref="Q53:Q54"/>
    <mergeCell ref="R95:R98"/>
    <mergeCell ref="R104:R106"/>
    <mergeCell ref="S104:S106"/>
    <mergeCell ref="R112:R114"/>
    <mergeCell ref="S112:S114"/>
    <mergeCell ref="R53:R54"/>
    <mergeCell ref="R59:R63"/>
    <mergeCell ref="R68:R71"/>
    <mergeCell ref="S68:S71"/>
    <mergeCell ref="R77:R79"/>
    <mergeCell ref="S77:S79"/>
    <mergeCell ref="S95:S98"/>
    <mergeCell ref="S59:S63"/>
    <mergeCell ref="V7:V8"/>
    <mergeCell ref="T9:T10"/>
    <mergeCell ref="U9:U10"/>
    <mergeCell ref="T11:T12"/>
    <mergeCell ref="U11:U12"/>
    <mergeCell ref="K12:K16"/>
    <mergeCell ref="M13:M16"/>
    <mergeCell ref="N13:N16"/>
    <mergeCell ref="T13:T14"/>
    <mergeCell ref="U13:U14"/>
    <mergeCell ref="T15:T16"/>
    <mergeCell ref="U15:U16"/>
    <mergeCell ref="T17:T18"/>
    <mergeCell ref="U17:U18"/>
    <mergeCell ref="T19:T20"/>
    <mergeCell ref="A22:G22"/>
    <mergeCell ref="K24:K28"/>
    <mergeCell ref="U19:U20"/>
    <mergeCell ref="A1:G1"/>
    <mergeCell ref="K5:K9"/>
    <mergeCell ref="M5:M9"/>
    <mergeCell ref="N5:N9"/>
    <mergeCell ref="A51:G51"/>
    <mergeCell ref="AD24:AD25"/>
    <mergeCell ref="AL24:AL25"/>
    <mergeCell ref="AB26:AB27"/>
    <mergeCell ref="AC26:AC27"/>
    <mergeCell ref="AJ26:AJ27"/>
    <mergeCell ref="AK26:AK27"/>
    <mergeCell ref="AJ32:AJ33"/>
    <mergeCell ref="AK32:AK33"/>
    <mergeCell ref="AJ34:AJ35"/>
    <mergeCell ref="AK34:AK35"/>
    <mergeCell ref="M26:M28"/>
    <mergeCell ref="N26:N28"/>
    <mergeCell ref="Q47:Q48"/>
    <mergeCell ref="R47:R48"/>
    <mergeCell ref="T51:T52"/>
    <mergeCell ref="R49:R50"/>
    <mergeCell ref="R51:R52"/>
    <mergeCell ref="A42:B42"/>
    <mergeCell ref="R43:R44"/>
    <mergeCell ref="T43:T44"/>
    <mergeCell ref="AC43:AC44"/>
    <mergeCell ref="Q43:Q44"/>
    <mergeCell ref="Q45:Q46"/>
  </mergeCells>
  <pageMargins left="0.511811024" right="0.511811024" top="0.78740157499999996" bottom="0.78740157499999996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LISTAS!$D$1:$D$2</xm:f>
          </x14:formula1>
          <xm:sqref>C4</xm:sqref>
        </x14:dataValidation>
        <x14:dataValidation type="list" allowBlank="1" showErrorMessage="1" xr:uid="{00000000-0002-0000-0000-000001000000}">
          <x14:formula1>
            <xm:f>LISTAS!$B$1:$B$4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1000"/>
  <sheetViews>
    <sheetView workbookViewId="0"/>
  </sheetViews>
  <sheetFormatPr defaultColWidth="14.44140625" defaultRowHeight="15" customHeight="1"/>
  <cols>
    <col min="1" max="1" width="8.6640625" customWidth="1"/>
    <col min="2" max="2" width="7" customWidth="1"/>
    <col min="3" max="3" width="8.6640625" customWidth="1"/>
    <col min="4" max="4" width="11.6640625" customWidth="1"/>
    <col min="5" max="5" width="8.6640625" customWidth="1"/>
    <col min="6" max="6" width="49.44140625" customWidth="1"/>
    <col min="7" max="26" width="8.6640625" customWidth="1"/>
  </cols>
  <sheetData>
    <row r="1" spans="2:6" ht="14.25" customHeight="1">
      <c r="B1" s="8" t="s">
        <v>70</v>
      </c>
      <c r="C1" s="8"/>
      <c r="D1" s="8" t="s">
        <v>5</v>
      </c>
      <c r="F1" s="26" t="s">
        <v>71</v>
      </c>
    </row>
    <row r="2" spans="2:6" ht="14.25" customHeight="1">
      <c r="B2" s="8" t="s">
        <v>3</v>
      </c>
      <c r="C2" s="8"/>
      <c r="D2" s="8" t="s">
        <v>72</v>
      </c>
      <c r="F2" s="26" t="s">
        <v>73</v>
      </c>
    </row>
    <row r="3" spans="2:6" ht="14.25" customHeight="1">
      <c r="B3" s="8" t="s">
        <v>74</v>
      </c>
      <c r="C3" s="8"/>
      <c r="D3" s="8"/>
      <c r="F3" s="26" t="s">
        <v>75</v>
      </c>
    </row>
    <row r="4" spans="2:6" ht="14.25" customHeight="1">
      <c r="B4" s="8" t="s">
        <v>76</v>
      </c>
      <c r="C4" s="8"/>
      <c r="D4" s="8"/>
    </row>
    <row r="5" spans="2:6" ht="14.25" customHeight="1"/>
    <row r="6" spans="2:6" ht="14.25" customHeight="1"/>
    <row r="7" spans="2:6" ht="14.25" customHeight="1"/>
    <row r="8" spans="2:6" ht="14.25" customHeight="1"/>
    <row r="9" spans="2:6" ht="14.25" customHeight="1"/>
    <row r="10" spans="2:6" ht="14.25" customHeight="1"/>
    <row r="11" spans="2:6" ht="14.25" customHeight="1"/>
    <row r="12" spans="2:6" ht="14.25" customHeight="1"/>
    <row r="13" spans="2:6" ht="14.25" customHeight="1"/>
    <row r="14" spans="2:6" ht="14.25" customHeight="1"/>
    <row r="15" spans="2:6" ht="14.25" customHeight="1"/>
    <row r="16" spans="2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>
      <selection sqref="A1:G1"/>
    </sheetView>
  </sheetViews>
  <sheetFormatPr defaultColWidth="14.44140625" defaultRowHeight="15" customHeight="1"/>
  <cols>
    <col min="1" max="1" width="22.109375" customWidth="1"/>
    <col min="2" max="2" width="22.44140625" customWidth="1"/>
    <col min="3" max="3" width="21" customWidth="1"/>
    <col min="4" max="4" width="21.44140625" customWidth="1"/>
    <col min="5" max="5" width="25.5546875" customWidth="1"/>
    <col min="6" max="6" width="19.33203125" customWidth="1"/>
    <col min="7" max="7" width="13.6640625" customWidth="1"/>
    <col min="8" max="8" width="18.6640625" customWidth="1"/>
    <col min="9" max="9" width="17.6640625" customWidth="1"/>
    <col min="10" max="10" width="15.6640625" customWidth="1"/>
    <col min="11" max="11" width="10.44140625" customWidth="1"/>
    <col min="12" max="12" width="13.5546875" customWidth="1"/>
    <col min="13" max="13" width="15.6640625" customWidth="1"/>
    <col min="14" max="14" width="10.44140625" customWidth="1"/>
    <col min="15" max="26" width="8.6640625" customWidth="1"/>
  </cols>
  <sheetData>
    <row r="1" spans="1:26" ht="30" customHeight="1">
      <c r="A1" s="99" t="s">
        <v>77</v>
      </c>
      <c r="B1" s="100"/>
      <c r="C1" s="100"/>
      <c r="D1" s="100"/>
      <c r="E1" s="100"/>
      <c r="F1" s="100"/>
      <c r="G1" s="10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>
      <c r="A2" s="1"/>
      <c r="B2" s="1"/>
      <c r="C2" s="1"/>
      <c r="D2" s="1"/>
      <c r="E2" s="1"/>
      <c r="F2" s="1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>
      <c r="A3" s="1"/>
      <c r="B3" s="6" t="s">
        <v>2</v>
      </c>
      <c r="C3" s="48" t="s">
        <v>3</v>
      </c>
      <c r="D3" s="8"/>
      <c r="E3" s="1"/>
      <c r="F3" s="1"/>
      <c r="G3" s="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>
      <c r="A4" s="1"/>
      <c r="B4" s="9" t="s">
        <v>4</v>
      </c>
      <c r="C4" s="48" t="s">
        <v>5</v>
      </c>
      <c r="D4" s="8"/>
      <c r="E4" s="10" t="s">
        <v>78</v>
      </c>
      <c r="F4" s="11" t="str">
        <f>IF(C5=100,"LAJE","")</f>
        <v>LAJE</v>
      </c>
      <c r="G4" s="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>
      <c r="A5" s="13"/>
      <c r="B5" s="6" t="s">
        <v>79</v>
      </c>
      <c r="C5" s="36">
        <v>100</v>
      </c>
      <c r="D5" s="8"/>
      <c r="E5" s="15" t="s">
        <v>80</v>
      </c>
      <c r="F5" s="49">
        <f>C10/1.15</f>
        <v>43.478260869565219</v>
      </c>
      <c r="G5" s="13" t="s">
        <v>81</v>
      </c>
      <c r="H5" s="27" t="b">
        <f>IF(D23="ARMADURA DUPLA!",F9*F10*F8*H9*F13*F11*C5*(F13-((F9/2))*H9*F13))</f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8" customHeight="1">
      <c r="B6" s="6" t="s">
        <v>16</v>
      </c>
      <c r="C6" s="36">
        <v>11</v>
      </c>
      <c r="D6" s="8"/>
      <c r="E6" s="15" t="s">
        <v>82</v>
      </c>
      <c r="F6" s="27" t="b">
        <f>(IF(D23="ARMADURA DUPLA!",IF(G15="ARMADURA NÃO ESCOA",(21000*F15)/1000,"INVÁLIDO!")))</f>
        <v>0</v>
      </c>
      <c r="G6" s="13" t="s">
        <v>83</v>
      </c>
      <c r="H6" s="27">
        <f>F12-H5</f>
        <v>1959.9999999999998</v>
      </c>
      <c r="I6" s="19"/>
    </row>
    <row r="7" spans="1:26" ht="18" customHeight="1">
      <c r="B7" s="6" t="s">
        <v>84</v>
      </c>
      <c r="C7" s="36">
        <v>14</v>
      </c>
      <c r="D7" s="8"/>
      <c r="E7" s="15" t="s">
        <v>85</v>
      </c>
      <c r="F7" s="8">
        <f>C9/10</f>
        <v>2.5</v>
      </c>
      <c r="G7" s="13" t="s">
        <v>15</v>
      </c>
      <c r="H7" s="27">
        <v>0.628</v>
      </c>
      <c r="I7" s="19"/>
    </row>
    <row r="8" spans="1:26" ht="18" customHeight="1">
      <c r="B8" s="6" t="s">
        <v>86</v>
      </c>
      <c r="C8" s="36"/>
      <c r="D8" s="8"/>
      <c r="E8" s="15" t="s">
        <v>87</v>
      </c>
      <c r="F8" s="27">
        <f>(C9/10)/1.4</f>
        <v>1.7857142857142858</v>
      </c>
      <c r="G8" s="13" t="s">
        <v>18</v>
      </c>
      <c r="H8" s="27">
        <v>0.55000000000000004</v>
      </c>
      <c r="I8" s="19"/>
    </row>
    <row r="9" spans="1:26" ht="18" customHeight="1">
      <c r="B9" s="6" t="s">
        <v>88</v>
      </c>
      <c r="C9" s="36">
        <v>25</v>
      </c>
      <c r="D9" s="24" t="str">
        <f>IF(C9&lt;=50, "CONCRETO DO GRUPO I", "CONCRETO DO GRUPO II")</f>
        <v>CONCRETO DO GRUPO I</v>
      </c>
      <c r="E9" s="15" t="s">
        <v>20</v>
      </c>
      <c r="F9" s="27" t="str">
        <f>IF(D9="CONCRETO DO GRUPO I","0,8",IF(D9="CONCRETO DO GRUPO II",0.8-(C9-50)/400,""))</f>
        <v>0,8</v>
      </c>
      <c r="G9" s="13" t="s">
        <v>21</v>
      </c>
      <c r="H9" s="27">
        <f>IF(D9="CONCRETO DO GRUPO I", MIN(H7,H8),IF(D9="CONCRETO DO GRUPO II", MIN(H7,H8), "Escolha inválida"))</f>
        <v>0.55000000000000004</v>
      </c>
      <c r="I9" s="19"/>
    </row>
    <row r="10" spans="1:26" ht="18" customHeight="1">
      <c r="B10" s="6" t="s">
        <v>89</v>
      </c>
      <c r="C10" s="36">
        <v>50</v>
      </c>
      <c r="D10" s="8"/>
      <c r="E10" s="15" t="s">
        <v>90</v>
      </c>
      <c r="F10" s="27" t="str">
        <f>IF(D9="CONCRETO DO GRUPO I","0,85",(IF(D9="CONCRETO DO GRUPO II",(0.85*(1-((C9-50)/200))))))</f>
        <v>0,85</v>
      </c>
      <c r="G10" s="15" t="s">
        <v>91</v>
      </c>
      <c r="H10" s="22">
        <f>IF(D9="CONCRETO DO GRUPO I",F18/(F18+10),F18/(F18+10))</f>
        <v>0.25925925925925924</v>
      </c>
      <c r="I10" s="19"/>
    </row>
    <row r="11" spans="1:26" ht="18" customHeight="1">
      <c r="B11" s="6" t="s">
        <v>31</v>
      </c>
      <c r="C11" s="36">
        <v>1</v>
      </c>
      <c r="E11" s="15" t="s">
        <v>92</v>
      </c>
      <c r="F11" s="27" t="str">
        <f>IF(C9&lt;=40,"1",(40/C9)^(1/3))</f>
        <v>1</v>
      </c>
      <c r="G11" s="15" t="s">
        <v>93</v>
      </c>
      <c r="H11" s="22">
        <f>IF(D9="CONCRETO DO GRUPO I",F18/(F18+F17),F18/(F18+F17))</f>
        <v>0.62832187325775879</v>
      </c>
      <c r="I11" s="19"/>
    </row>
    <row r="12" spans="1:26" ht="18" customHeight="1">
      <c r="D12" s="8"/>
      <c r="E12" s="15" t="s">
        <v>94</v>
      </c>
      <c r="F12" s="8">
        <f>C7*1.4*100</f>
        <v>1959.9999999999998</v>
      </c>
    </row>
    <row r="13" spans="1:26" ht="18" customHeight="1">
      <c r="D13" s="8"/>
      <c r="E13" s="15" t="s">
        <v>1</v>
      </c>
      <c r="F13" s="8">
        <f>$C$6-($B$53+0.5)</f>
        <v>8.5</v>
      </c>
    </row>
    <row r="14" spans="1:26" ht="18" customHeight="1">
      <c r="D14" s="8"/>
      <c r="E14" s="15" t="s">
        <v>32</v>
      </c>
      <c r="F14" s="8">
        <f>$B$53+0.5</f>
        <v>2.5</v>
      </c>
    </row>
    <row r="15" spans="1:26" ht="18" customHeight="1">
      <c r="D15" s="8"/>
      <c r="E15" s="15" t="s">
        <v>95</v>
      </c>
      <c r="F15" s="27" t="str">
        <f>IF(D23="ARMADURA DUPLA!",3.5*((H9*F13)-F14)/(H9*F13),"")</f>
        <v/>
      </c>
      <c r="G15" s="39" t="str">
        <f>IF(F15&gt;=2.07,"ARMADURA ESCOA","ARMADURA NÃO ESCOA")</f>
        <v>ARMADURA ESCOA</v>
      </c>
      <c r="H15" s="13"/>
      <c r="I15" s="27"/>
    </row>
    <row r="16" spans="1:26" ht="18" customHeight="1">
      <c r="D16" s="8"/>
      <c r="E16" s="15" t="s">
        <v>96</v>
      </c>
      <c r="F16" s="27" t="b">
        <f>IF(D23="ARMADURA DUPLA!",3.5*(1-H9)/(H9))</f>
        <v>0</v>
      </c>
      <c r="H16" s="13"/>
      <c r="I16" s="27"/>
    </row>
    <row r="17" spans="1:26" ht="18" customHeight="1">
      <c r="D17" s="8"/>
      <c r="E17" s="15" t="s">
        <v>97</v>
      </c>
      <c r="F17" s="17">
        <f>F5/21</f>
        <v>2.0703933747412009</v>
      </c>
      <c r="H17" s="13"/>
      <c r="I17" s="27"/>
    </row>
    <row r="18" spans="1:26" ht="18" customHeight="1">
      <c r="D18" s="8"/>
      <c r="E18" s="15" t="s">
        <v>98</v>
      </c>
      <c r="F18" s="17">
        <f>IF(D9="CONCRETO DO GRUPO I",3.5,2.6+(3.5*((90-C9)/100)^(4)))</f>
        <v>3.5</v>
      </c>
      <c r="H18" s="13"/>
      <c r="I18" s="27"/>
    </row>
    <row r="19" spans="1:26" ht="30" customHeight="1">
      <c r="A19" s="113" t="s">
        <v>43</v>
      </c>
      <c r="B19" s="100"/>
      <c r="C19" s="100"/>
      <c r="D19" s="100"/>
      <c r="E19" s="100"/>
      <c r="F19" s="100"/>
      <c r="G19" s="101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>
      <c r="B21" s="15" t="s">
        <v>99</v>
      </c>
      <c r="C21" s="22">
        <f>F12/(F9*F10*F11*F13*F13*F8*C5)</f>
        <v>0.22340728679014854</v>
      </c>
      <c r="D21" s="34"/>
      <c r="E21" s="15" t="s">
        <v>100</v>
      </c>
      <c r="F21" s="17">
        <f>IF(C9=20,0.0015*C5*C6,
IF(C9=25,0.0015*C5*C6,
IF(C9=30,0.0015*C5*C6,
IF(C9=35,0.00164*C5*C6,IF(C9=40,0.00179*C5*C6,IF(C9=45,0.00194*C5*C6,IF(C9=50,0.00208*C5*C6,IF(C9=55,0.00211*C5*C6,IF(C9=60,0.00219*C5*C6,IF(C9=65,0.00226*C5*C6,IF(C9=70,0.00233*C5*C6,IF(C9=75,0.00239*C5*C6,IF(C9=80,0.00245*C5*C6,IF(C9=85,0.00251*C5*C6,IF(C9=90,0.00256*C5*C6)))))))))))))))</f>
        <v>1.65</v>
      </c>
      <c r="G21" s="39" t="s">
        <v>101</v>
      </c>
    </row>
    <row r="22" spans="1:26" ht="14.25" customHeight="1">
      <c r="A22" s="37"/>
      <c r="B22" s="15" t="s">
        <v>46</v>
      </c>
      <c r="C22" s="22">
        <f>(1.5625-(2.5*C21))</f>
        <v>1.0039817830246287</v>
      </c>
      <c r="D22" s="34"/>
      <c r="E22" s="15" t="s">
        <v>102</v>
      </c>
      <c r="F22" s="17">
        <f>IF(C9=20,0.0015*C5*C6*0.67,
IF(C9=25,0.0015*C5*C6*0.67,
IF(C9=30,0.0015*C5*C6*0.67,
IF(C9=35,0.00164*C5*C6*0.67,IF(C9=40,0.00179*C5*C6*0.67,IF(C9=45,0.00194*C5*C6*0.67,IF(C9=50,0.00208*C5*C6*0.67,IF(C9=55,0.00211*C5*C6*0.67,IF(C9=60,0.00219*C5*C6*0.67,IF(C9=65,0.00226*C5*C6*0.67,IF(C9=70,0.00233*C5*C6*0.67,IF(C9=75,0.00239*C5*C6*0.67,IF(C9=80,0.00245*C5*C6*0.67,IF(C9=85,0.00251*C5*C6*0.67,IF(C9=90,0.00256*C5*C6*0.67)))))))))))))))</f>
        <v>1.1054999999999999</v>
      </c>
      <c r="G22" s="24" t="s">
        <v>103</v>
      </c>
    </row>
    <row r="23" spans="1:26" ht="14.25" customHeight="1">
      <c r="B23" s="15" t="s">
        <v>104</v>
      </c>
      <c r="C23" s="22">
        <f>1.25-(SQRT(1.5625-(2.5*C21)))</f>
        <v>0.24801108637638669</v>
      </c>
      <c r="D23" s="40" t="str">
        <f>IFERROR(IF(D9="CONCRETO DO GRUPO I",IF(C23&lt;=0.45,"ARMADURA SIMPLES!","ARMADURA DUPLA!"),IF(D9="CONCRETO DO GRUPO II",IF(C23&lt;=0.35,"ARMADURA SIMPLES!","ARMADURA DUPLA!"))),"ARMADURA DUPLA!")</f>
        <v>ARMADURA SIMPLES!</v>
      </c>
      <c r="E23" s="15" t="s">
        <v>105</v>
      </c>
      <c r="F23" s="17">
        <f>MAX(0.2*C26, 0.5*F21, 0.9)</f>
        <v>1.1775212079598878</v>
      </c>
      <c r="G23" s="24" t="s">
        <v>106</v>
      </c>
      <c r="I23" s="8"/>
      <c r="J23" s="8"/>
    </row>
    <row r="24" spans="1:26" ht="14.25" customHeight="1">
      <c r="B24" s="15" t="s">
        <v>52</v>
      </c>
      <c r="C24" s="17">
        <f>C23*F13</f>
        <v>2.108094234199287</v>
      </c>
      <c r="D24" s="27"/>
      <c r="E24" s="15"/>
      <c r="F24" s="17"/>
      <c r="G24" s="50" t="str">
        <f>IF(F4="VIGA COM SEÇÃO RETANGULAR",
IF(F24&lt;=0.04*C5*C6,"OK","EXCEDE 4% DA SEÇÃO DE CONCRETO"),
IF(F4="VIGA COM SEÇÃO T",
IF(F24&lt;=(0.04*C5*C6)+(#REF!-C5)*#REF!,"OK","EXCEDE 4% DA SEÇÃO DE CONCRETO"),
""))</f>
        <v/>
      </c>
      <c r="I24" s="8"/>
      <c r="J24" s="27"/>
    </row>
    <row r="25" spans="1:26" ht="14.25" customHeight="1">
      <c r="B25" s="15"/>
      <c r="C25" s="27"/>
      <c r="D25" s="27"/>
      <c r="F25" s="21"/>
      <c r="G25" s="27"/>
      <c r="I25" s="8"/>
      <c r="J25" s="27"/>
    </row>
    <row r="26" spans="1:26" ht="14.25" customHeight="1">
      <c r="A26" s="34"/>
      <c r="B26" s="15" t="s">
        <v>107</v>
      </c>
      <c r="C26" s="17">
        <f>IF(D23="ARMADURA SIMPLES!",F12/(F5*(F13-((F9/2)*C24))))</f>
        <v>5.8876060397994392</v>
      </c>
      <c r="D26" s="27"/>
      <c r="E26" s="15" t="s">
        <v>108</v>
      </c>
      <c r="F26" s="17" t="b">
        <f>IF(D23="ARMADURA DUPLA!",H5/(F5*(F13-((F9/2)*H9*F13))))</f>
        <v>0</v>
      </c>
      <c r="G26" s="27"/>
      <c r="I26" s="8" t="s">
        <v>109</v>
      </c>
      <c r="J26" s="27" t="s">
        <v>110</v>
      </c>
      <c r="L26" s="8" t="s">
        <v>109</v>
      </c>
      <c r="M26" s="27" t="s">
        <v>110</v>
      </c>
    </row>
    <row r="27" spans="1:26" ht="14.25" customHeight="1">
      <c r="A27" s="8"/>
      <c r="B27" s="44"/>
      <c r="C27" s="17"/>
      <c r="D27" s="27"/>
      <c r="E27" s="15" t="s">
        <v>111</v>
      </c>
      <c r="F27" s="17" t="b">
        <f>IF(D23="ARMADURA DUPLA!",IF(G15="ARMADURA ESCOA",H6/(F5*(F13-F14)),H6/(F6*(F13-F14))))</f>
        <v>0</v>
      </c>
      <c r="I27" s="8">
        <v>5</v>
      </c>
      <c r="J27" s="43">
        <f t="shared" ref="J27:J31" si="0">PI()*(I27/10)^2/4</f>
        <v>0.19634954084936207</v>
      </c>
      <c r="L27" s="8">
        <v>5</v>
      </c>
      <c r="M27" s="43">
        <f t="shared" ref="M27:M30" si="1">PI()*(L27/10)^2/4</f>
        <v>0.19634954084936207</v>
      </c>
    </row>
    <row r="28" spans="1:26" ht="14.25" customHeight="1">
      <c r="B28" s="15"/>
      <c r="C28" s="17"/>
      <c r="E28" s="15" t="s">
        <v>112</v>
      </c>
      <c r="F28" s="17">
        <f>F26+F27</f>
        <v>0</v>
      </c>
      <c r="I28" s="8">
        <v>6.3</v>
      </c>
      <c r="J28" s="43">
        <f t="shared" si="0"/>
        <v>0.31172453105244724</v>
      </c>
      <c r="L28" s="8">
        <v>6</v>
      </c>
      <c r="M28" s="43">
        <f t="shared" si="1"/>
        <v>0.28274333882308139</v>
      </c>
    </row>
    <row r="29" spans="1:26" ht="14.25" customHeight="1">
      <c r="B29" s="15"/>
      <c r="C29" s="17"/>
      <c r="E29" s="15"/>
      <c r="F29" s="17"/>
      <c r="I29" s="8">
        <v>8</v>
      </c>
      <c r="J29" s="43">
        <f t="shared" si="0"/>
        <v>0.50265482457436694</v>
      </c>
      <c r="L29" s="8">
        <v>8</v>
      </c>
      <c r="M29" s="43">
        <f t="shared" si="1"/>
        <v>0.50265482457436694</v>
      </c>
    </row>
    <row r="30" spans="1:26" ht="14.25" customHeight="1">
      <c r="B30" s="120" t="s">
        <v>113</v>
      </c>
      <c r="C30" s="121"/>
      <c r="D30" s="121"/>
      <c r="E30" s="121"/>
      <c r="F30" s="121"/>
      <c r="G30" s="122"/>
      <c r="I30" s="8">
        <v>10</v>
      </c>
      <c r="J30" s="43">
        <f t="shared" si="0"/>
        <v>0.78539816339744828</v>
      </c>
      <c r="L30" s="8">
        <v>10</v>
      </c>
      <c r="M30" s="43">
        <f t="shared" si="1"/>
        <v>0.78539816339744828</v>
      </c>
    </row>
    <row r="31" spans="1:26" ht="14.25" customHeight="1">
      <c r="B31" s="12" t="s">
        <v>114</v>
      </c>
      <c r="C31" s="51" t="s">
        <v>115</v>
      </c>
      <c r="D31" s="12" t="s">
        <v>116</v>
      </c>
      <c r="E31" s="12" t="s">
        <v>117</v>
      </c>
      <c r="F31" s="51" t="s">
        <v>118</v>
      </c>
      <c r="G31" s="12" t="s">
        <v>119</v>
      </c>
      <c r="I31" s="8">
        <v>12.5</v>
      </c>
      <c r="J31" s="43">
        <f t="shared" si="0"/>
        <v>1.227184630308513</v>
      </c>
    </row>
    <row r="32" spans="1:26" ht="14.25" customHeight="1">
      <c r="B32" s="12"/>
      <c r="C32" s="51"/>
      <c r="D32" s="12"/>
      <c r="E32" s="12"/>
      <c r="F32" s="51"/>
      <c r="G32" s="12"/>
      <c r="I32" s="8"/>
      <c r="J32" s="43"/>
    </row>
    <row r="33" spans="2:14" ht="14.25" customHeight="1">
      <c r="B33" s="14" t="s">
        <v>120</v>
      </c>
      <c r="C33" s="52" t="str">
        <f>IF(AND($C$10=50, OR($D$23="ARMADURA SIMPLES!", $D$23="ARMADURA DUPLA!")),IF(AND(INT((100*$J$36)/$C$26)&gt;=5, INT((100*$J$36)/$C$26)&lt;=33),INT((100*$J$36)/$C$26),"-"),IF($D$23="ARMADURA SIMPLES!",IF(AND(INT((100*$J$36)/$C$26)&gt;=5, INT((100*$J$36)/$C$26)&lt;=33),INT((100*$J$36)/$C$26),"-"),IF($D$23="ARMADURA DUPLA!",IF(AND(INT((100*$J$36)/$F$26)&gt;=5, INT((100*$J$36)/$F$26)&lt;=33),
            INT((100*$J$36)/$F$26),
            "-"),
         "")
   )
)</f>
        <v>-</v>
      </c>
      <c r="D33" s="52">
        <f>IF(AND($C$10=50, OR($D$23="ARMADURA SIMPLES!", $D$23="ARMADURA DUPLA!")),
   IF(AND(INT((100*$K$36)/$C$26)&gt;=5, INT((100*$K$36)/$C$26)&lt;=33),
      INT((100*$K$36)/$C$26),
      "-"),
   IF($D$23="ARMADURA SIMPLES!",
      IF(AND(INT((100*$K$36)/$C$26)&gt;=5, INT((100*$K$36)/$C$26)&lt;=33),
         INT((100*$K$36)/$C$26),
         "-"),
      IF($D$23="ARMADURA DUPLA!",
         IF(AND(INT((100*$K$36)/$F$26)&gt;=5, INT((100*$K$36)/$F$26)&lt;=33),
            INT((100*$K$36)/$F$26),
            "-"),
         "")
   )
)</f>
        <v>5</v>
      </c>
      <c r="E33" s="52">
        <f t="shared" ref="E33:G33" si="2">IF(AND($C$10=50, OR($D$23="ARMADURA SIMPLES!", $D$23="ARMADURA DUPLA!")),
   IF(AND(INT((100*L36)/$C$26)&gt;=5, INT((100*L36)/$C$26)&lt;=33),
      INT((100*L36)/$C$26),
      "-"),
   IF($D$23="ARMADURA SIMPLES!",
      IF(AND(INT((100*L36)/$C$26)&gt;=5, INT((100*L36)/$C$26)&lt;=33),
         INT((100*L36)/$C$26),
         "-"),
      IF($D$23="ARMADURA DUPLA!",
         IF(AND(INT((100*L36)/$F$26)&gt;=5, INT((100*L36)/$F$26)&lt;=33),
            INT((100*L36)/$F$26),
            "-"),
         "")
   )
)</f>
        <v>8</v>
      </c>
      <c r="F33" s="52">
        <f t="shared" si="2"/>
        <v>13</v>
      </c>
      <c r="G33" s="52">
        <f t="shared" si="2"/>
        <v>20</v>
      </c>
    </row>
    <row r="34" spans="2:14" ht="14.25" customHeight="1">
      <c r="B34" s="14" t="s">
        <v>121</v>
      </c>
      <c r="C34" s="52">
        <f t="shared" ref="C34:G34" si="3">IF(AND($C$10=50,OR($D$23="ARMADURA SIMPLES!",$D$23="ARMADURA DUPLA!")),IF(AND(INT((100*J36)/$F$21)&gt;=5,INT((100*J36)/$F$21)&lt;=33),INT((100*J36)/$F$21),"-"),IF($D$23="ARMADURA SIMPLES!",IF(AND(INT((100*J36)/$F$21)&gt;=5,INT((100*J36)/$F$21)&lt;=33),INT((100*J36)/$F$21),"-"),IF($D$23="ARMADURA DUPLA!",IF(AND(INT((100*J36)/$F$26)&gt;=5,INT((100*J36)/$F$26)&lt;=33),
INT((100*J36)/$F$26),
"-"),
"")
)
)</f>
        <v>11</v>
      </c>
      <c r="D34" s="52">
        <f t="shared" si="3"/>
        <v>18</v>
      </c>
      <c r="E34" s="52">
        <f t="shared" si="3"/>
        <v>30</v>
      </c>
      <c r="F34" s="52" t="str">
        <f t="shared" si="3"/>
        <v>-</v>
      </c>
      <c r="G34" s="52" t="str">
        <f t="shared" si="3"/>
        <v>-</v>
      </c>
    </row>
    <row r="35" spans="2:14" ht="14.25" customHeight="1">
      <c r="B35" s="14" t="s">
        <v>122</v>
      </c>
      <c r="C35" s="52">
        <f t="shared" ref="C35:G35" si="4">IF(AND($C$10=50,OR($D$23="ARMADURA SIMPLES!",$D$23="ARMADURA DUPLA!")),IF(AND(INT((100*J36)/$F$22)&gt;=5,INT((100*J36)/$F$22)&lt;=33),INT((100*J36)/$F$22),"-"),IF($D$23="ARMADURA SIMPLES!",IF(AND(INT((100*J36)/$F$22)&gt;=5,INT((100*J36)/$F$22)&lt;=33),INT((100*J36)/$F$22),"-"),IF($D$23="ARMADURA DUPLA!",IF(AND(INT((100*J36)/$F$26)&gt;=5,INT((100*J36)/$F$26)&lt;=33),
INT((100*J36)/$F$26),
"-"),
"")
)
)</f>
        <v>17</v>
      </c>
      <c r="D35" s="52">
        <f t="shared" si="4"/>
        <v>28</v>
      </c>
      <c r="E35" s="52" t="str">
        <f t="shared" si="4"/>
        <v>-</v>
      </c>
      <c r="F35" s="52" t="str">
        <f t="shared" si="4"/>
        <v>-</v>
      </c>
      <c r="G35" s="52" t="str">
        <f t="shared" si="4"/>
        <v>-</v>
      </c>
      <c r="I35" s="8" t="s">
        <v>123</v>
      </c>
      <c r="J35" s="8">
        <v>5</v>
      </c>
      <c r="K35" s="8">
        <v>6.3</v>
      </c>
      <c r="L35" s="8">
        <v>8</v>
      </c>
      <c r="M35" s="8">
        <v>10</v>
      </c>
      <c r="N35" s="8">
        <v>12.5</v>
      </c>
    </row>
    <row r="36" spans="2:14" ht="14.25" customHeight="1">
      <c r="B36" s="14" t="s">
        <v>124</v>
      </c>
      <c r="C36" s="52">
        <f t="shared" ref="C36:G36" si="5">IF(AND($C$10=50,OR($D$23="ARMADURA SIMPLES!",$D$23="ARMADURA DUPLA!")),IF(AND(INT((100*J36)/$F$23)&gt;=5,INT((100*J36)/$F$23)&lt;=33),INT((100*J36)/$F$23),"-"),IF($D$23="ARMADURA SIMPLES!",IF(AND(INT((100*J36)/$F$23)&gt;=5,INT((100*J36)/$F$23)&lt;=33),INT((100*J36)/$F$23),"-"),IF($D$23="ARMADURA DUPLA!",IF(AND(INT((100*J36)/$F$26)&gt;=5,INT((100*J36)/$F$26)&lt;=33),
INT((100*J36)/$F$26),
"-"),
"")
)
)</f>
        <v>16</v>
      </c>
      <c r="D36" s="52">
        <f t="shared" si="5"/>
        <v>26</v>
      </c>
      <c r="E36" s="52" t="str">
        <f t="shared" si="5"/>
        <v>-</v>
      </c>
      <c r="F36" s="52" t="str">
        <f t="shared" si="5"/>
        <v>-</v>
      </c>
      <c r="G36" s="52" t="str">
        <f t="shared" si="5"/>
        <v>-</v>
      </c>
      <c r="I36" s="8" t="s">
        <v>125</v>
      </c>
      <c r="J36" s="27">
        <f>PI()*(I27/10)^2/4</f>
        <v>0.19634954084936207</v>
      </c>
      <c r="K36" s="27">
        <f>PI()*(I28/10)^2/4</f>
        <v>0.31172453105244724</v>
      </c>
      <c r="L36" s="27">
        <f>PI()*(I29/10)^2/4</f>
        <v>0.50265482457436694</v>
      </c>
      <c r="M36" s="27">
        <f>PI()*(I30/10)^2/4</f>
        <v>0.78539816339744828</v>
      </c>
      <c r="N36" s="27">
        <f>PI()*(I31/10)^2/4</f>
        <v>1.227184630308513</v>
      </c>
    </row>
    <row r="37" spans="2:14" ht="14.25" customHeight="1">
      <c r="B37" s="21"/>
      <c r="C37" s="53"/>
      <c r="D37" s="53"/>
      <c r="E37" s="53"/>
      <c r="F37" s="53"/>
      <c r="G37" s="53"/>
    </row>
    <row r="38" spans="2:14" ht="14.25" customHeight="1">
      <c r="B38" s="120" t="s">
        <v>126</v>
      </c>
      <c r="C38" s="121"/>
      <c r="D38" s="121"/>
      <c r="E38" s="121"/>
      <c r="F38" s="122"/>
      <c r="G38" s="54"/>
      <c r="I38" s="8" t="s">
        <v>123</v>
      </c>
      <c r="J38" s="8">
        <v>5</v>
      </c>
      <c r="K38" s="8">
        <v>6</v>
      </c>
      <c r="L38" s="8">
        <v>8</v>
      </c>
      <c r="M38" s="8">
        <v>10</v>
      </c>
    </row>
    <row r="39" spans="2:14" ht="14.25" customHeight="1">
      <c r="B39" s="12" t="s">
        <v>114</v>
      </c>
      <c r="C39" s="51" t="s">
        <v>115</v>
      </c>
      <c r="D39" s="12" t="s">
        <v>116</v>
      </c>
      <c r="E39" s="12" t="s">
        <v>117</v>
      </c>
      <c r="F39" s="51" t="s">
        <v>118</v>
      </c>
      <c r="G39" s="55"/>
      <c r="I39" s="8" t="s">
        <v>127</v>
      </c>
      <c r="J39" s="27">
        <f>J36</f>
        <v>0.19634954084936207</v>
      </c>
      <c r="K39" s="27">
        <f>M28</f>
        <v>0.28274333882308139</v>
      </c>
      <c r="L39" s="27">
        <f>M29</f>
        <v>0.50265482457436694</v>
      </c>
      <c r="M39" s="27">
        <f>M30</f>
        <v>0.78539816339744828</v>
      </c>
    </row>
    <row r="40" spans="2:14" ht="14.25" customHeight="1">
      <c r="B40" s="14" t="s">
        <v>128</v>
      </c>
      <c r="C40" s="52" t="str">
        <f t="shared" ref="C40:F40" si="6">IF(AND($C$10=60, OR($D$23="ARMADURA SIMPLES!", $D$23="ARMADURA DUPLA!")),IF(AND(INT((100*$J$36)/$C$26)&gt;=5, INT((100*$J$36)/$C$26)&lt;=33),INT((100*$J$36)/$C$26),"-"),IF($D$23="ARMADURA SIMPLES!",IF(AND(INT((100*$J$36)/$C$26)&gt;=5, INT((100*$J$36)/$C$26)&lt;=33),INT((100*$J$36)/$C$26),"-"),IF($D$23="ARMADURA DUPLA!",IF(AND(INT((100*$J$36)/$F$26)&gt;=5, INT((100*$J$36)/$F$26)&lt;=33),
            INT((100*$J$36)/$F$26),
            "-"),
         "")
   )
)</f>
        <v>-</v>
      </c>
      <c r="D40" s="52" t="str">
        <f t="shared" si="6"/>
        <v>-</v>
      </c>
      <c r="E40" s="52" t="str">
        <f t="shared" si="6"/>
        <v>-</v>
      </c>
      <c r="F40" s="52" t="str">
        <f t="shared" si="6"/>
        <v>-</v>
      </c>
      <c r="G40" s="56"/>
    </row>
    <row r="41" spans="2:14" ht="14.25" customHeight="1">
      <c r="B41" s="14" t="s">
        <v>129</v>
      </c>
      <c r="C41" s="52">
        <f t="shared" ref="C41:F41" si="7">IF(AND($C$10=60, OR($D$23="ARMADURA SIMPLES!", $D$23="ARMADURA DUPLA!")),IF(AND(INT((100*J36)/$F$21)&gt;=5, INT((100*J36)/$F$21)&lt;=33),INT((100*J36)/$F$21),"-"),IF($D$23="ARMADURA SIMPLES!",IF(AND(INT((100*J36)/$F$21)&gt;=5, INT((100*J36)/$F$21)&lt;=33),INT((100*J36)/$F$21),"-"),IF($D$23="ARMADURA DUPLA!",IF(AND(INT((100*J36)/$F$26)&gt;=5, INT((100*J36)/$F$26)&lt;=33),
            INT((100*J36)/$F$26),
            "-"),
         "")
   )
)</f>
        <v>11</v>
      </c>
      <c r="D41" s="52">
        <f t="shared" si="7"/>
        <v>18</v>
      </c>
      <c r="E41" s="52">
        <f t="shared" si="7"/>
        <v>30</v>
      </c>
      <c r="F41" s="52" t="str">
        <f t="shared" si="7"/>
        <v>-</v>
      </c>
      <c r="G41" s="56"/>
    </row>
    <row r="42" spans="2:14" ht="14.25" customHeight="1">
      <c r="B42" s="14" t="s">
        <v>130</v>
      </c>
      <c r="C42" s="52" t="str">
        <f t="shared" ref="C42:F42" si="8">IF(AND($C$10=60, OR($D$23="ARMADURA SIMPLES!", $D$23="ARMADURA DUPLA!")),IF(AND(INT((100*$J$36)/$C$26)&gt;=5, INT((100*$J$36)/$C$26)&lt;=33),INT((100*$J$36)/$C$26),"-"),IF($D$23="ARMADURA SIMPLES!",IF(AND(INT((100*$J$36)/$C$26)&gt;=5, INT((100*$J$36)/$C$26)&lt;=33),INT((100*$J$36)/$C$26),"-"),IF($D$23="ARMADURA DUPLA!",IF(AND(INT((100*$J$36)/$F$26)&gt;=5, INT((100*$J$36)/$F$26)&lt;=33),
            INT((100*$J$36)/$F$26),
            "-"),
         "")
   )
)</f>
        <v>-</v>
      </c>
      <c r="D42" s="52" t="str">
        <f t="shared" si="8"/>
        <v>-</v>
      </c>
      <c r="E42" s="52" t="str">
        <f t="shared" si="8"/>
        <v>-</v>
      </c>
      <c r="F42" s="52" t="str">
        <f t="shared" si="8"/>
        <v>-</v>
      </c>
      <c r="G42" s="56"/>
    </row>
    <row r="43" spans="2:14" ht="14.25" customHeight="1">
      <c r="B43" s="14" t="s">
        <v>131</v>
      </c>
      <c r="C43" s="52" t="str">
        <f t="shared" ref="C43:F43" si="9">IF(AND($C$10=60, OR($D$23="ARMADURA SIMPLES!", $D$23="ARMADURA DUPLA!")),IF(AND(INT((100*$J$36)/$C$26)&gt;=5, INT((100*$J$36)/$C$26)&lt;=33),INT((100*$J$36)/$C$26),"-"),IF($D$23="ARMADURA SIMPLES!",IF(AND(INT((100*$J$36)/$C$26)&gt;=5, INT((100*$J$36)/$C$26)&lt;=33),INT((100*$J$36)/$C$26),"-"),IF($D$23="ARMADURA DUPLA!",IF(AND(INT((100*$J$36)/$F$26)&gt;=5, INT((100*$J$36)/$F$26)&lt;=33),
            INT((100*$J$36)/$F$26),
            "-"),
         "")
   )
)</f>
        <v>-</v>
      </c>
      <c r="D43" s="52" t="str">
        <f t="shared" si="9"/>
        <v>-</v>
      </c>
      <c r="E43" s="52" t="str">
        <f t="shared" si="9"/>
        <v>-</v>
      </c>
      <c r="F43" s="52" t="str">
        <f t="shared" si="9"/>
        <v>-</v>
      </c>
      <c r="G43" s="56"/>
    </row>
    <row r="44" spans="2:14" ht="14.25" customHeight="1">
      <c r="B44" s="21"/>
      <c r="C44" s="53"/>
      <c r="D44" s="53"/>
      <c r="E44" s="53"/>
      <c r="F44" s="53"/>
      <c r="G44" s="53"/>
    </row>
    <row r="45" spans="2:14" ht="14.25" customHeight="1">
      <c r="B45" s="57" t="s">
        <v>132</v>
      </c>
      <c r="C45" s="58" t="s">
        <v>133</v>
      </c>
      <c r="D45" s="25"/>
      <c r="E45" s="15"/>
      <c r="F45" s="17"/>
      <c r="G45" s="25"/>
    </row>
    <row r="46" spans="2:14" ht="14.25" customHeight="1">
      <c r="B46" s="59"/>
      <c r="C46" s="58" t="s">
        <v>134</v>
      </c>
      <c r="D46" s="25"/>
      <c r="E46" s="15"/>
      <c r="F46" s="17"/>
      <c r="G46" s="25"/>
    </row>
    <row r="47" spans="2:14" ht="14.25" customHeight="1">
      <c r="B47" s="59"/>
      <c r="C47" s="58" t="s">
        <v>135</v>
      </c>
      <c r="D47" s="25"/>
      <c r="E47" s="15"/>
      <c r="F47" s="17"/>
      <c r="G47" s="25"/>
    </row>
    <row r="48" spans="2:14" ht="14.25" customHeight="1">
      <c r="B48" s="21"/>
      <c r="C48" s="60"/>
      <c r="D48" s="25"/>
      <c r="E48" s="15"/>
      <c r="F48" s="17"/>
      <c r="G48" s="25"/>
    </row>
    <row r="49" spans="1:7" ht="14.25" customHeight="1"/>
    <row r="50" spans="1:7" ht="14.25" customHeight="1">
      <c r="A50" s="112" t="s">
        <v>62</v>
      </c>
      <c r="B50" s="104"/>
      <c r="C50" s="26" t="s">
        <v>4</v>
      </c>
    </row>
    <row r="51" spans="1:7" ht="14.25" customHeight="1">
      <c r="A51" s="15" t="s">
        <v>2</v>
      </c>
      <c r="B51" s="8" t="str">
        <f>C3</f>
        <v>II</v>
      </c>
      <c r="C51" s="8" t="str">
        <f>C4</f>
        <v>Rigoroso</v>
      </c>
      <c r="D51" s="8"/>
      <c r="E51" s="13"/>
    </row>
    <row r="52" spans="1:7" ht="14.25" customHeight="1">
      <c r="A52" s="15" t="s">
        <v>136</v>
      </c>
      <c r="B52" s="8">
        <f>C5</f>
        <v>100</v>
      </c>
      <c r="E52" s="13"/>
    </row>
    <row r="53" spans="1:7" ht="14.25" customHeight="1">
      <c r="A53" s="15" t="s">
        <v>64</v>
      </c>
      <c r="B53" s="8">
        <f>IF(F4="LAJE",
IF(C3="I",2-IF(C4="Rigoroso",0.5,0),
IF(C3="II",2.5-IF(C4="Rigoroso",0.5,0),
IF(C3="III",3.5-IF(C4="Rigoroso",0.5,0),
IF(C3="IV",4.5-IF(C4="Rigoroso",0.5,0)))))
)</f>
        <v>2</v>
      </c>
    </row>
    <row r="54" spans="1:7" ht="18" customHeight="1">
      <c r="A54" s="15" t="s">
        <v>137</v>
      </c>
      <c r="B54" s="8">
        <v>2</v>
      </c>
    </row>
    <row r="55" spans="1:7" ht="18" customHeight="1">
      <c r="A55" s="15" t="s">
        <v>138</v>
      </c>
      <c r="B55" s="8"/>
    </row>
    <row r="56" spans="1:7" ht="18" customHeight="1">
      <c r="A56" s="15" t="s">
        <v>139</v>
      </c>
      <c r="B56" s="8" t="e">
        <f>(B52-(2*B53)-(2*#REF!)-(#REF!*B54))/(#REF!-1)</f>
        <v>#REF!</v>
      </c>
      <c r="C56" s="26" t="e">
        <f>IF(B56&gt;=MAX(B54,2,1.2*B55),"ESPAÇAMENTO OK!","NÃO ATENDE NBR:6118 (2023)")</f>
        <v>#REF!</v>
      </c>
    </row>
    <row r="57" spans="1:7" ht="30" customHeight="1">
      <c r="A57" s="99" t="s">
        <v>140</v>
      </c>
      <c r="B57" s="100"/>
      <c r="C57" s="100"/>
      <c r="D57" s="100"/>
      <c r="E57" s="100"/>
      <c r="F57" s="100"/>
      <c r="G57" s="101"/>
    </row>
    <row r="58" spans="1:7" ht="14.25" customHeight="1">
      <c r="A58" s="45"/>
      <c r="B58" s="45"/>
      <c r="C58" s="45"/>
      <c r="D58" s="45"/>
      <c r="E58" s="45"/>
      <c r="F58" s="45"/>
      <c r="G58" s="45"/>
    </row>
    <row r="59" spans="1:7" ht="18" customHeight="1">
      <c r="B59" s="15" t="s">
        <v>141</v>
      </c>
      <c r="C59" s="21">
        <f>C8*1.4</f>
        <v>0</v>
      </c>
      <c r="D59" s="21"/>
      <c r="E59" s="25"/>
    </row>
    <row r="60" spans="1:7" ht="18" customHeight="1">
      <c r="B60" s="15" t="s">
        <v>142</v>
      </c>
      <c r="C60" s="17">
        <f>(0.021*(C9)^(2/3))/1.4</f>
        <v>0.12824819600075224</v>
      </c>
      <c r="D60" s="21"/>
      <c r="E60" s="25"/>
    </row>
    <row r="61" spans="1:7" ht="18" customHeight="1">
      <c r="B61" s="15" t="s">
        <v>143</v>
      </c>
      <c r="C61" s="61">
        <f>0.25*C60</f>
        <v>3.206204900018806E-2</v>
      </c>
      <c r="D61" s="21"/>
      <c r="E61" s="25"/>
    </row>
    <row r="62" spans="1:7" ht="18" customHeight="1">
      <c r="B62" s="15" t="s">
        <v>144</v>
      </c>
      <c r="C62" s="62">
        <f>IF(D23="ARMADURA SIMPLES!",MIN(C26/(C5*F13),0.02),MIN(F26/(C5*F13),0.02))</f>
        <v>6.9265953409405169E-3</v>
      </c>
      <c r="D62" s="63" t="str">
        <f>IF(C62&gt;0.02,"ADOTAR 0,02","OK!")</f>
        <v>OK!</v>
      </c>
      <c r="E62" s="25"/>
    </row>
    <row r="63" spans="1:7" ht="18" customHeight="1">
      <c r="B63" s="15" t="s">
        <v>145</v>
      </c>
      <c r="C63" s="17">
        <f>MAX(1,1.6-(F13/100))</f>
        <v>1.5150000000000001</v>
      </c>
      <c r="D63" s="21"/>
      <c r="E63" s="25"/>
    </row>
    <row r="64" spans="1:7" ht="18" customHeight="1">
      <c r="B64" s="15" t="s">
        <v>146</v>
      </c>
      <c r="C64" s="17">
        <f>(C61*C63*(1.2+(40*C62)))*C5*F13</f>
        <v>60.984868348506893</v>
      </c>
      <c r="D64" s="119" t="str">
        <f>IF(C64&gt;=C59,"DISPENSA DE ARMADURA DE CISALHAMENTO!", "NECESSIDADE DE ARMADURA DE CISALHAMENTO, AUMENTE A ESPESSURA (h)!")</f>
        <v>DISPENSA DE ARMADURA DE CISALHAMENTO!</v>
      </c>
      <c r="E64" s="104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57:G57"/>
    <mergeCell ref="D64:E64"/>
    <mergeCell ref="A1:G1"/>
    <mergeCell ref="A19:G19"/>
    <mergeCell ref="B30:G30"/>
    <mergeCell ref="B38:F38"/>
    <mergeCell ref="A50:B50"/>
  </mergeCells>
  <pageMargins left="0.511811024" right="0.511811024" top="0.78740157499999996" bottom="0.78740157499999996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0000000}">
          <x14:formula1>
            <xm:f>LISTAS!$D$1:$D$2</xm:f>
          </x14:formula1>
          <xm:sqref>C4 D51</xm:sqref>
        </x14:dataValidation>
        <x14:dataValidation type="list" allowBlank="1" showErrorMessage="1" xr:uid="{00000000-0002-0000-0700-000001000000}">
          <x14:formula1>
            <xm:f>LISTAS!$B$1:$B$4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>
      <selection sqref="A1:G1"/>
    </sheetView>
  </sheetViews>
  <sheetFormatPr defaultColWidth="14.44140625" defaultRowHeight="15" customHeight="1"/>
  <cols>
    <col min="1" max="1" width="22.109375" customWidth="1"/>
    <col min="2" max="2" width="40.6640625" customWidth="1"/>
    <col min="3" max="3" width="23.5546875" customWidth="1"/>
    <col min="4" max="4" width="21.44140625" customWidth="1"/>
    <col min="5" max="5" width="25.5546875" customWidth="1"/>
    <col min="6" max="6" width="19.33203125" customWidth="1"/>
    <col min="7" max="7" width="14.6640625" customWidth="1"/>
    <col min="8" max="8" width="18.6640625" customWidth="1"/>
    <col min="9" max="9" width="17.6640625" customWidth="1"/>
    <col min="10" max="10" width="15.6640625" customWidth="1"/>
    <col min="11" max="11" width="10.44140625" customWidth="1"/>
    <col min="12" max="12" width="13.5546875" customWidth="1"/>
    <col min="13" max="13" width="15.6640625" customWidth="1"/>
    <col min="14" max="26" width="8.6640625" customWidth="1"/>
  </cols>
  <sheetData>
    <row r="1" spans="1:26" ht="30" customHeight="1">
      <c r="A1" s="99" t="s">
        <v>147</v>
      </c>
      <c r="B1" s="100"/>
      <c r="C1" s="100"/>
      <c r="D1" s="100"/>
      <c r="E1" s="100"/>
      <c r="F1" s="100"/>
      <c r="G1" s="10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>
      <c r="A2" s="1"/>
      <c r="B2" s="1"/>
      <c r="C2" s="1"/>
      <c r="D2" s="1"/>
      <c r="E2" s="1"/>
      <c r="F2" s="1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>
      <c r="A3" s="1"/>
      <c r="B3" s="6" t="s">
        <v>2</v>
      </c>
      <c r="C3" s="7" t="s">
        <v>70</v>
      </c>
      <c r="D3" s="8"/>
      <c r="E3" s="1"/>
      <c r="F3" s="1"/>
      <c r="G3" s="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>
      <c r="A4" s="1"/>
      <c r="B4" s="6" t="s">
        <v>4</v>
      </c>
      <c r="C4" s="7" t="s">
        <v>5</v>
      </c>
      <c r="D4" s="8"/>
      <c r="E4" s="10" t="s">
        <v>78</v>
      </c>
      <c r="F4" s="11" t="s">
        <v>148</v>
      </c>
      <c r="G4" s="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>
      <c r="A5" s="13"/>
      <c r="B5" s="6" t="s">
        <v>149</v>
      </c>
      <c r="C5" s="14">
        <v>15</v>
      </c>
      <c r="D5" s="8"/>
      <c r="E5" s="15" t="s">
        <v>150</v>
      </c>
      <c r="F5" s="16">
        <f>C10/1.15</f>
        <v>43.478260869565219</v>
      </c>
      <c r="G5" s="15" t="s">
        <v>151</v>
      </c>
      <c r="H5" s="17">
        <f>C7*1.4*100</f>
        <v>4963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8" customHeight="1">
      <c r="A6" s="13"/>
      <c r="B6" s="6" t="s">
        <v>152</v>
      </c>
      <c r="C6" s="14">
        <v>40</v>
      </c>
      <c r="D6" s="8"/>
      <c r="E6" s="15" t="s">
        <v>153</v>
      </c>
      <c r="F6" s="64">
        <v>35.5</v>
      </c>
      <c r="G6" s="15" t="s">
        <v>154</v>
      </c>
      <c r="H6" s="17">
        <f>C8*1.4</f>
        <v>840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8" customHeight="1">
      <c r="B7" s="6" t="s">
        <v>155</v>
      </c>
      <c r="C7" s="18">
        <v>35.450000000000003</v>
      </c>
      <c r="D7" s="8"/>
      <c r="E7" s="15" t="s">
        <v>156</v>
      </c>
      <c r="F7" s="17" t="str">
        <f>(IF(D23="ARMADURA DUPLA!",IF(G16="ARMADURA NÃO ESCOA",(21000*F16)/1000,"INVÁLIDO!")))</f>
        <v>INVÁLIDO!</v>
      </c>
      <c r="G7" s="15" t="s">
        <v>157</v>
      </c>
      <c r="H7" s="17">
        <f>IF(D8="FLEXOCOMPRESSÃO!",H5-(H6*((C5/2)-F14)),"")</f>
        <v>2023</v>
      </c>
      <c r="I7" s="19"/>
    </row>
    <row r="8" spans="1:26" ht="18" customHeight="1">
      <c r="B8" s="6" t="s">
        <v>158</v>
      </c>
      <c r="C8" s="18">
        <v>600</v>
      </c>
      <c r="D8" s="37" t="str">
        <f>IF(C8&gt;0,"FLEXOCOMPRESSÃO!","FLEXOTRAÇÃO!")</f>
        <v>FLEXOCOMPRESSÃO!</v>
      </c>
      <c r="E8" s="15" t="s">
        <v>159</v>
      </c>
      <c r="F8" s="21">
        <f>C9/10</f>
        <v>3</v>
      </c>
      <c r="G8" s="15" t="s">
        <v>160</v>
      </c>
      <c r="H8" s="17">
        <f>IF(D8="FLEXOCOMPRESSÃO!",-F10*F11*F12*C6*C5*F9*(((F10/2)*C5)-F14),"")</f>
        <v>-1748.5714285714287</v>
      </c>
      <c r="I8" s="65" t="str">
        <f>IF(D8="FLEXOCOMPRESSÃO!",IF(H7&lt;H8,"FLEXOCOMPRESSÃO COM PEQUENA EXCENTRICIDADE!","FLEXOCOMPRESSÃO COM GRANDE EXCENTRICIDADE!"))</f>
        <v>FLEXOCOMPRESSÃO COM GRANDE EXCENTRICIDADE!</v>
      </c>
    </row>
    <row r="9" spans="1:26" ht="18" customHeight="1">
      <c r="B9" s="6" t="s">
        <v>161</v>
      </c>
      <c r="C9" s="14">
        <v>30</v>
      </c>
      <c r="D9" s="37" t="str">
        <f>IF(C9&lt;=50, "CONCRETO DO GRUPO I", "CONCRETO DO GRUPO II")</f>
        <v>CONCRETO DO GRUPO I</v>
      </c>
      <c r="E9" s="15" t="s">
        <v>162</v>
      </c>
      <c r="F9" s="17">
        <f>(C9/10)/1.4</f>
        <v>2.1428571428571428</v>
      </c>
      <c r="G9" s="15" t="s">
        <v>163</v>
      </c>
      <c r="H9" s="17" t="b">
        <f>IF(D8="FLEXOTRAÇÃO!",-H5+(ABS(H6))*((C5/2)-F14))</f>
        <v>0</v>
      </c>
      <c r="I9" s="65" t="str">
        <f>IF(ISNUMBER(H9), IF(H9&gt;0, "FLEXOTRAÇÃO COM GRANDE EXCENTRICIDADE!", "FLEXOTRAÇÃO COM PEQUENA EXCENTRICIDADE!"), "NÃO É UM CASO DE FLEXOTRAÇÃO")</f>
        <v>NÃO É UM CASO DE FLEXOTRAÇÃO</v>
      </c>
    </row>
    <row r="10" spans="1:26" ht="18" customHeight="1">
      <c r="B10" s="6" t="s">
        <v>164</v>
      </c>
      <c r="C10" s="14">
        <v>50</v>
      </c>
      <c r="E10" s="15" t="s">
        <v>20</v>
      </c>
      <c r="F10" s="17" t="str">
        <f>IF(D9="CONCRETO DO GRUPO I","0,8",IF(D9="CONCRETO DO GRUPO II",0.8-(C9-50)/400,""))</f>
        <v>0,8</v>
      </c>
      <c r="G10" s="15" t="s">
        <v>165</v>
      </c>
      <c r="H10" s="17">
        <f>IF(OR(I9="FLEXOTRAÇÃO COM PEQUENA EXCENTRICIDADE!", I8="FLEXOCOMPRESSÃO COM GRANDE EXCENTRICIDADE!"), H5+(H6 * (F13 - (C5/2))), "")</f>
        <v>7903</v>
      </c>
      <c r="I10" s="19"/>
    </row>
    <row r="11" spans="1:26" ht="18" customHeight="1">
      <c r="B11" s="6" t="s">
        <v>31</v>
      </c>
      <c r="C11" s="14">
        <v>1</v>
      </c>
      <c r="D11" s="8"/>
      <c r="E11" s="15" t="s">
        <v>166</v>
      </c>
      <c r="F11" s="17" t="str">
        <f>IF(D9="CONCRETO DO GRUPO I","0,85",(IF(D9="CONCRETO DO GRUPO II",(0.85*(1-((C9-50)/200))))))</f>
        <v>0,85</v>
      </c>
      <c r="G11" s="15" t="s">
        <v>167</v>
      </c>
      <c r="H11" s="17">
        <f>IF(D23="ARMADURA DUPLA!",F10*F11*F9*H15*F13*F12*C6*(F13-((F10/2))*H15*F13))</f>
        <v>4079.825119542857</v>
      </c>
      <c r="I11" s="19"/>
    </row>
    <row r="12" spans="1:26" ht="18" customHeight="1">
      <c r="E12" s="15" t="s">
        <v>168</v>
      </c>
      <c r="F12" s="17" t="str">
        <f>IF(C9&lt;=40,"1",(40/C9)^(1/3))</f>
        <v>1</v>
      </c>
      <c r="G12" s="15" t="s">
        <v>169</v>
      </c>
      <c r="H12" s="17">
        <f>H10-H11</f>
        <v>3823.174880457143</v>
      </c>
      <c r="I12" s="19"/>
    </row>
    <row r="13" spans="1:26" ht="18" customHeight="1">
      <c r="D13" s="8"/>
      <c r="E13" s="15" t="s">
        <v>1</v>
      </c>
      <c r="F13" s="21">
        <f>C5-($B$37+2)</f>
        <v>11</v>
      </c>
      <c r="G13" s="15" t="s">
        <v>15</v>
      </c>
      <c r="H13" s="17">
        <v>1</v>
      </c>
    </row>
    <row r="14" spans="1:26" ht="18" customHeight="1">
      <c r="D14" s="8"/>
      <c r="E14" s="15" t="s">
        <v>32</v>
      </c>
      <c r="F14" s="21">
        <f>$B$37+2</f>
        <v>4</v>
      </c>
      <c r="G14" s="15" t="s">
        <v>18</v>
      </c>
      <c r="H14" s="22">
        <v>0.90900000000000003</v>
      </c>
      <c r="I14" s="27"/>
    </row>
    <row r="15" spans="1:26" ht="18" customHeight="1">
      <c r="D15" s="8"/>
      <c r="E15" s="15" t="s">
        <v>170</v>
      </c>
      <c r="F15" s="17">
        <f>IF(D23="ARMADURA DUPLA!",3.5*(1-H15)/(H15))</f>
        <v>0.35038503850385028</v>
      </c>
      <c r="G15" s="15" t="s">
        <v>21</v>
      </c>
      <c r="H15" s="17">
        <f>IF(D9="CONCRETO DO GRUPO I", MIN(H13,H14),IF(D9="CONCRETO DO GRUPO II", MIN(H13,H14), "Escolha inválida"))</f>
        <v>0.90900000000000003</v>
      </c>
      <c r="I15" s="27"/>
    </row>
    <row r="16" spans="1:26" ht="18" customHeight="1">
      <c r="D16" s="8"/>
      <c r="E16" s="15" t="s">
        <v>171</v>
      </c>
      <c r="F16" s="17">
        <f>IF(D23="ARMADURA DUPLA!",3.5*((H15*F13)-F14)/(H15*F13),"")</f>
        <v>2.0998599859986</v>
      </c>
      <c r="G16" s="65" t="str">
        <f>IF(F16&gt;=2.07,"ARMADURA ESCOA","ARMADURA NÃO ESCOA")</f>
        <v>ARMADURA ESCOA</v>
      </c>
      <c r="H16" s="13"/>
      <c r="I16" s="27"/>
    </row>
    <row r="17" spans="1:26" ht="18" customHeight="1">
      <c r="D17" s="8"/>
      <c r="E17" s="15" t="s">
        <v>52</v>
      </c>
      <c r="F17" s="17" t="str">
        <f>IF(AND(I8="FLEXOCOMPRESSÃO COM PEQUENA EXCENTRICIDADE!", C31="Tem-se solução somente com armadura de compressão!"),
   (1.25*F14)*(1+(SQRT(1-((H5 -(H6*((C5/2)-F14)))/(0.425*C6*F14*F14*F9))))),
   "Não há"
)</f>
        <v>Não há</v>
      </c>
      <c r="G17" s="28" t="str">
        <f>IF(F17="Não há","Não está no domínio 5","Domínio 5")</f>
        <v>Não está no domínio 5</v>
      </c>
      <c r="H17" s="13"/>
      <c r="I17" s="27"/>
    </row>
    <row r="18" spans="1:26" ht="18" customHeight="1">
      <c r="D18" s="8"/>
      <c r="E18" s="15" t="s">
        <v>172</v>
      </c>
      <c r="F18" s="17" t="b">
        <f>IF(I8="FLEXOCOMPRESSÃO COM PEQUENA EXCENTRICIDADE!",(F17-F14)/(F17-((3*C5)/7))*2)</f>
        <v>0</v>
      </c>
      <c r="G18" s="17">
        <f>IF(AND(I8="FLEXOCOMPRESSÃO COM PEQUENA EXCENTRICIDADE!",F18&gt;2.07),F5,21000*F18)</f>
        <v>0</v>
      </c>
      <c r="H18" s="13"/>
      <c r="I18" s="27"/>
    </row>
    <row r="19" spans="1:26" ht="30" customHeight="1">
      <c r="A19" s="113" t="s">
        <v>173</v>
      </c>
      <c r="B19" s="100"/>
      <c r="C19" s="100"/>
      <c r="D19" s="100"/>
      <c r="E19" s="100"/>
      <c r="F19" s="100"/>
      <c r="G19" s="101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8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8" customHeight="1">
      <c r="B21" s="15" t="s">
        <v>174</v>
      </c>
      <c r="C21" s="22">
        <f>IF(OR(I9="FLEXOTRAÇÃO COM PEQUENA EXCENTRICIDADE!",I8="FLEXOCOMPRESSÃO COM GRANDE EXCENTRICIDADE!"),H10/(F10*F11*F12*F13*F13*F9*C6))</f>
        <v>1.120584184086858</v>
      </c>
      <c r="D21" s="34"/>
      <c r="E21" s="15"/>
      <c r="F21" s="17"/>
      <c r="G21" s="39"/>
    </row>
    <row r="22" spans="1:26" ht="18" customHeight="1">
      <c r="A22" s="37"/>
      <c r="B22" s="15" t="s">
        <v>46</v>
      </c>
      <c r="C22" s="22">
        <f>(1.5625-(2.5*C21))</f>
        <v>-1.2389604602171449</v>
      </c>
      <c r="D22" s="34"/>
      <c r="E22" s="15"/>
      <c r="F22" s="17"/>
      <c r="G22" s="24"/>
    </row>
    <row r="23" spans="1:26" ht="18" customHeight="1">
      <c r="B23" s="15" t="s">
        <v>175</v>
      </c>
      <c r="C23" s="22" t="e">
        <f>1.25-(SQRT(1.5625-(2.5*C21)))</f>
        <v>#NUM!</v>
      </c>
      <c r="D23" s="40" t="str">
        <f>IFERROR(IF(D9="CONCRETO DO GRUPO I",IF(C23&lt;=0.45,"ARMADURA SIMPLES!","ARMADURA DUPLA!"),IF(D9="CONCRETO DO GRUPO II",IF(C23&lt;=0.35,"ARMADURA SIMPLES!","ARMADURA DUPLA!"))),"ARMADURA DUPLA!")</f>
        <v>ARMADURA DUPLA!</v>
      </c>
      <c r="E23" s="15"/>
      <c r="F23" s="17"/>
      <c r="G23" s="24"/>
      <c r="I23" s="8"/>
      <c r="J23" s="8"/>
    </row>
    <row r="24" spans="1:26" ht="18" customHeight="1">
      <c r="B24" s="15" t="s">
        <v>52</v>
      </c>
      <c r="C24" s="17" t="e">
        <f>C23*F13</f>
        <v>#NUM!</v>
      </c>
      <c r="D24" s="27"/>
      <c r="E24" s="15"/>
      <c r="F24" s="17"/>
      <c r="G24" s="50"/>
      <c r="I24" s="8"/>
      <c r="J24" s="27"/>
    </row>
    <row r="25" spans="1:26" ht="18" customHeight="1">
      <c r="B25" s="15"/>
      <c r="C25" s="27"/>
      <c r="D25" s="27"/>
      <c r="F25" s="21"/>
      <c r="G25" s="27"/>
      <c r="I25" s="8"/>
      <c r="J25" s="27"/>
    </row>
    <row r="26" spans="1:26" ht="18" customHeight="1">
      <c r="A26" s="34"/>
      <c r="B26" s="15" t="s">
        <v>176</v>
      </c>
      <c r="C26" s="17">
        <f>IF(D23="ARMADURA SIMPLES!",H10/(F5*(F13-((F10/2)*C24))))-(H6/F5)</f>
        <v>-19.32</v>
      </c>
      <c r="D26" s="27"/>
      <c r="E26" s="15" t="s">
        <v>177</v>
      </c>
      <c r="F26" s="17">
        <f>IF(D23="ARMADURA DUPLA!",(H11/(F5*(F13-(F10/2)*H15*F13))))+(H12/(F5*(F13-F14))-(H6/F5))</f>
        <v>6.6462340357877565</v>
      </c>
      <c r="G26" s="27"/>
      <c r="I26" s="8"/>
      <c r="J26" s="27"/>
      <c r="L26" s="8"/>
      <c r="M26" s="27"/>
    </row>
    <row r="27" spans="1:26" ht="18" customHeight="1">
      <c r="A27" s="8"/>
      <c r="B27" s="15" t="s">
        <v>178</v>
      </c>
      <c r="C27" s="17">
        <f>IF(I9="FLEXOTRAÇÃO COM GRANDE EXCENTRICIDADE!",(ABS(H6)+(H5/((C5/2)-F14))))/(2*F5)</f>
        <v>0</v>
      </c>
      <c r="D27" s="43"/>
      <c r="E27" s="15" t="s">
        <v>179</v>
      </c>
      <c r="F27" s="17">
        <f>IF(D23="ARMADURA DUPLA!",IF(G16="ARMADURA ESCOA",H12/(F5*(F13-F14)),H12/(F7*(F13-F14))))</f>
        <v>12.561860321502042</v>
      </c>
      <c r="I27" s="8"/>
      <c r="J27" s="43"/>
      <c r="L27" s="8"/>
      <c r="M27" s="43"/>
    </row>
    <row r="28" spans="1:26" ht="18" customHeight="1">
      <c r="B28" s="15" t="s">
        <v>180</v>
      </c>
      <c r="C28" s="17">
        <f>IF(I9="FLEXOTRAÇÃO COM GRANDE EXCENTRICIDADE!",(ABS(H6)-(H5/((C5/2)-F14))))/(2*F5)</f>
        <v>0</v>
      </c>
      <c r="D28" s="43"/>
      <c r="E28" s="15" t="s">
        <v>181</v>
      </c>
      <c r="F28" s="17">
        <f>F26+F27</f>
        <v>19.208094357289799</v>
      </c>
      <c r="I28" s="8"/>
      <c r="J28" s="43"/>
      <c r="L28" s="8"/>
      <c r="M28" s="43"/>
    </row>
    <row r="29" spans="1:26" ht="18" customHeight="1">
      <c r="B29" s="15"/>
      <c r="C29" s="17"/>
      <c r="D29" s="43"/>
      <c r="E29" s="15"/>
      <c r="F29" s="17"/>
      <c r="I29" s="8"/>
      <c r="J29" s="43"/>
      <c r="L29" s="8"/>
      <c r="M29" s="43"/>
    </row>
    <row r="30" spans="1:26" ht="18" customHeight="1">
      <c r="B30" s="123"/>
      <c r="C30" s="104"/>
      <c r="D30" s="43"/>
      <c r="E30" s="15"/>
      <c r="F30" s="17"/>
      <c r="I30" s="8"/>
      <c r="J30" s="43"/>
      <c r="L30" s="8"/>
      <c r="M30" s="43"/>
    </row>
    <row r="31" spans="1:26" ht="18" customHeight="1">
      <c r="B31" s="15" t="s">
        <v>182</v>
      </c>
      <c r="C31" s="16" t="str">
        <f>IF(I8="FLEXOCOMPRESSÃO COM PEQUENA EXCENTRICIDADE!",
   IF((1/(2*F6))*((H6-(F11*F12*C6*C5*F9)-(H5/((C5/2)-F14))))&gt;=0,
      (1/(2*F6))*((H6-(F11*F12*C6*C5*F9)-(H5/((C5/2)-F14)))),
      "Tem-se solução somente com armadura de compressão!"),
   ""
)</f>
        <v/>
      </c>
      <c r="D31" s="66"/>
      <c r="E31" s="15"/>
      <c r="F31" s="17"/>
      <c r="I31" s="8"/>
      <c r="J31" s="43"/>
      <c r="L31" s="8"/>
      <c r="M31" s="43"/>
    </row>
    <row r="32" spans="1:26" ht="18" customHeight="1">
      <c r="B32" s="15" t="s">
        <v>183</v>
      </c>
      <c r="C32" s="16" t="str">
        <f>IF(I8="FLEXOCOMPRESSÃO COM PEQUENA EXCENTRICIDADE!",
   IF(G17="DOMÍNIO 5",
      (H6-(F10*F11*F12*C6*F17*F9))/G18,
      (1/(2*F6))*((H6-(F11*F12*C6*C5*F9)+(H5/((C5/2)-F14))))
   ),
   ""
)</f>
        <v/>
      </c>
      <c r="D32" s="43"/>
      <c r="E32" s="15"/>
      <c r="F32" s="17"/>
      <c r="I32" s="8"/>
      <c r="J32" s="43"/>
      <c r="L32" s="8"/>
      <c r="M32" s="43"/>
    </row>
    <row r="33" spans="1:26" ht="18" customHeight="1">
      <c r="B33" s="21"/>
      <c r="C33" s="60"/>
      <c r="D33" s="25"/>
      <c r="E33" s="15"/>
      <c r="F33" s="17"/>
      <c r="G33" s="25"/>
    </row>
    <row r="34" spans="1:26" ht="18" customHeight="1">
      <c r="A34" s="112" t="s">
        <v>62</v>
      </c>
      <c r="B34" s="104"/>
      <c r="C34" s="26" t="s">
        <v>4</v>
      </c>
    </row>
    <row r="35" spans="1:26" ht="18" customHeight="1">
      <c r="A35" s="15" t="s">
        <v>2</v>
      </c>
      <c r="B35" s="21" t="str">
        <f>C3</f>
        <v>I</v>
      </c>
      <c r="C35" s="21" t="str">
        <f>C4</f>
        <v>Rigoroso</v>
      </c>
      <c r="D35" s="8"/>
      <c r="E35" s="13"/>
    </row>
    <row r="36" spans="1:26" ht="18" customHeight="1">
      <c r="A36" s="15" t="s">
        <v>184</v>
      </c>
      <c r="B36" s="21">
        <f>C5</f>
        <v>15</v>
      </c>
      <c r="C36" s="25"/>
      <c r="E36" s="13"/>
    </row>
    <row r="37" spans="1:26" ht="18" customHeight="1">
      <c r="A37" s="15" t="s">
        <v>64</v>
      </c>
      <c r="B37" s="21">
        <f>IF(F4="PILAR",
IF(C3="I",2.5-IF(C4="Rigoroso",0.5,0),
IF(C3="II",3-IF(C4="Rigoroso",0.5,0),
IF(C3="III",4-IF(C4="Rigoroso",0.5,0),
IF(C3="IV",5-IF(C4="Rigoroso",0.5,0)))))
)</f>
        <v>2</v>
      </c>
      <c r="C37" s="25"/>
    </row>
    <row r="38" spans="1:26" ht="18" customHeight="1">
      <c r="A38" s="15" t="s">
        <v>185</v>
      </c>
      <c r="B38" s="21">
        <v>2</v>
      </c>
      <c r="C38" s="25"/>
    </row>
    <row r="39" spans="1:26" ht="18" customHeight="1">
      <c r="A39" s="15" t="s">
        <v>186</v>
      </c>
      <c r="B39" s="21"/>
      <c r="C39" s="25"/>
    </row>
    <row r="40" spans="1:26" ht="18" customHeight="1">
      <c r="A40" s="15" t="s">
        <v>187</v>
      </c>
      <c r="B40" s="21" t="e">
        <f>(B36-(2*B37)-(2*#REF!)-(#REF!*B38))/(#REF!-1)</f>
        <v>#REF!</v>
      </c>
      <c r="C40" s="25" t="e">
        <f>IF(B40&gt;=MAX(B38,2,1.2*B39),"ESPAÇAMENTO OK!","NÃO ATENDE NBR:6118 (2023)")</f>
        <v>#REF!</v>
      </c>
    </row>
    <row r="41" spans="1:26" ht="18" customHeight="1">
      <c r="A41" s="124"/>
      <c r="B41" s="100"/>
      <c r="C41" s="100"/>
      <c r="D41" s="100"/>
      <c r="E41" s="100"/>
      <c r="F41" s="100"/>
      <c r="G41" s="101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8" customHeight="1">
      <c r="A42" s="45"/>
      <c r="B42" s="45"/>
      <c r="C42" s="45"/>
      <c r="D42" s="45"/>
      <c r="E42" s="45"/>
      <c r="F42" s="45"/>
      <c r="G42" s="45"/>
    </row>
    <row r="43" spans="1:26" ht="18" customHeight="1">
      <c r="B43" s="15"/>
      <c r="C43" s="21"/>
      <c r="D43" s="21"/>
      <c r="E43" s="25"/>
    </row>
    <row r="44" spans="1:26" ht="18" customHeight="1">
      <c r="B44" s="15"/>
      <c r="C44" s="17"/>
      <c r="D44" s="21"/>
      <c r="E44" s="25"/>
    </row>
    <row r="45" spans="1:26" ht="18" customHeight="1">
      <c r="B45" s="15"/>
      <c r="C45" s="61"/>
      <c r="D45" s="21"/>
      <c r="E45" s="25"/>
    </row>
    <row r="46" spans="1:26" ht="18" customHeight="1">
      <c r="B46" s="15"/>
      <c r="C46" s="62"/>
      <c r="D46" s="63"/>
      <c r="E46" s="25"/>
    </row>
    <row r="47" spans="1:26" ht="18" customHeight="1">
      <c r="B47" s="15"/>
      <c r="C47" s="17"/>
      <c r="D47" s="21"/>
      <c r="E47" s="25"/>
    </row>
    <row r="48" spans="1:26" ht="18" customHeight="1">
      <c r="B48" s="15"/>
      <c r="C48" s="17"/>
      <c r="D48" s="119"/>
      <c r="E48" s="104"/>
    </row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D48:E48"/>
    <mergeCell ref="A1:G1"/>
    <mergeCell ref="A19:G19"/>
    <mergeCell ref="B30:C30"/>
    <mergeCell ref="A34:B34"/>
    <mergeCell ref="A41:G41"/>
  </mergeCells>
  <pageMargins left="0.511811024" right="0.511811024" top="0.78740157499999996" bottom="0.78740157499999996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800-000000000000}">
          <x14:formula1>
            <xm:f>LISTAS!$D$1:$D$2</xm:f>
          </x14:formula1>
          <xm:sqref>C4 D35</xm:sqref>
        </x14:dataValidation>
        <x14:dataValidation type="list" allowBlank="1" showErrorMessage="1" xr:uid="{00000000-0002-0000-0800-000001000000}">
          <x14:formula1>
            <xm:f>LISTAS!$B$1:$B$4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VIGA</vt:lpstr>
      <vt:lpstr>LISTAS</vt:lpstr>
      <vt:lpstr>LAJE</vt:lpstr>
      <vt:lpstr>PEÇAS RETANGULARES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 Barge Pacha</dc:creator>
  <cp:lastModifiedBy>Roberto Barge Pacha</cp:lastModifiedBy>
  <dcterms:created xsi:type="dcterms:W3CDTF">2024-12-04T05:52:02Z</dcterms:created>
  <dcterms:modified xsi:type="dcterms:W3CDTF">2026-09-20T21:57:15Z</dcterms:modified>
</cp:coreProperties>
</file>